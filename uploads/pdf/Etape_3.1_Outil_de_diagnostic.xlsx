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https://capgemini.sharepoint.com/sites/ANCT_numriqueresponsable/Shared Documents/General/3. Boite à outil - phase 1/1. Outil de diagnostic qualitatif/"/>
    </mc:Choice>
  </mc:AlternateContent>
  <xr:revisionPtr revIDLastSave="2570" documentId="8_{91DBA481-439B-4DBC-B4EB-6541D70CCAF2}" xr6:coauthVersionLast="47" xr6:coauthVersionMax="47" xr10:uidLastSave="{CC66FB48-A030-4F34-803B-683B72336022}"/>
  <bookViews>
    <workbookView xWindow="28680" yWindow="-120" windowWidth="29040" windowHeight="15720" tabRatio="705" activeTab="1" xr2:uid="{00000000-000D-0000-FFFF-FFFF00000000}"/>
  </bookViews>
  <sheets>
    <sheet name="0. Mode d'emploi" sheetId="20" r:id="rId1"/>
    <sheet name="1. Questionnaire d'entretien " sheetId="11" r:id="rId2"/>
    <sheet name="2. Note de maturité" sheetId="24" r:id="rId3"/>
    <sheet name="3. Glossaire" sheetId="23" r:id="rId4"/>
    <sheet name="Validation des données" sheetId="26" state="hidden" r:id="rId5"/>
    <sheet name="1. Stratégie et Gouvernance" sheetId="7" state="hidden" r:id="rId6"/>
    <sheet name="2. Mesure" sheetId="9" state="hidden" r:id="rId7"/>
    <sheet name="3. Achat" sheetId="5" state="hidden" r:id="rId8"/>
    <sheet name="4. Conception" sheetId="8" state="hidden" r:id="rId9"/>
    <sheet name="5. DEEE et Economie circulaire" sheetId="10" state="hidden" r:id="rId10"/>
    <sheet name="6. Sensibilisation" sheetId="6" state="hidden" r:id="rId11"/>
  </sheets>
  <definedNames>
    <definedName name="_xlnm._FilterDatabase" localSheetId="1" hidden="1">'1. Questionnaire d''entretien '!$A$3:$U$215</definedName>
    <definedName name="_xlnm._FilterDatabase" localSheetId="5" hidden="1">'1. Stratégie et Gouvernance'!$A$2:$J$38</definedName>
    <definedName name="_xlnm._FilterDatabase" localSheetId="6" hidden="1">'2. Mesure'!$A$2:$L$53</definedName>
    <definedName name="_xlnm._FilterDatabase" localSheetId="7" hidden="1">'3. Achat'!$A$3:$J$39</definedName>
    <definedName name="_xlnm._FilterDatabase" localSheetId="3" hidden="1">'3. Glossaire'!$A$1:$B$1</definedName>
    <definedName name="_xlnm._FilterDatabase" localSheetId="8" hidden="1">'4. Conception'!$A$2:$J$49</definedName>
    <definedName name="_xlnm._FilterDatabase" localSheetId="9" hidden="1">'5. DEEE et Economie circulaire'!$A$2:$J$27</definedName>
    <definedName name="_xlnm._FilterDatabase" localSheetId="10" hidden="1">'6. Sensibilisation'!$A$2:$J$48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24" l="1"/>
  <c r="D5" i="24"/>
  <c r="D6" i="24"/>
  <c r="D7" i="24"/>
  <c r="D8" i="24"/>
  <c r="D9" i="24"/>
  <c r="D10" i="24"/>
  <c r="D11" i="24"/>
  <c r="D12" i="24"/>
  <c r="D13" i="24"/>
  <c r="D14" i="24"/>
  <c r="D15" i="24"/>
  <c r="D16" i="24"/>
  <c r="D17" i="24"/>
  <c r="D18" i="24"/>
  <c r="D19" i="24"/>
  <c r="D20" i="24"/>
  <c r="D21" i="24"/>
  <c r="D22" i="24"/>
  <c r="D23" i="24"/>
  <c r="D24" i="24"/>
  <c r="D25" i="24"/>
  <c r="D26" i="24"/>
  <c r="D27" i="24"/>
  <c r="D28" i="24"/>
  <c r="D29" i="24"/>
  <c r="D30" i="24"/>
  <c r="D31" i="24"/>
  <c r="D32" i="24"/>
  <c r="D33" i="24"/>
  <c r="D34" i="24"/>
  <c r="D35" i="24"/>
  <c r="D36" i="24"/>
  <c r="D37" i="24"/>
  <c r="D38" i="24"/>
  <c r="D39" i="24"/>
  <c r="D40" i="24"/>
  <c r="D41" i="24"/>
  <c r="D42" i="24"/>
  <c r="D43" i="24"/>
  <c r="D44" i="24"/>
  <c r="D45" i="24"/>
  <c r="D46" i="24"/>
  <c r="D47" i="24"/>
  <c r="D48" i="24"/>
  <c r="D49" i="24"/>
  <c r="D50" i="24"/>
  <c r="D51" i="24"/>
  <c r="D52" i="24"/>
  <c r="D53" i="24"/>
  <c r="D54" i="24"/>
  <c r="D55" i="24"/>
  <c r="D56" i="24"/>
  <c r="D57" i="24"/>
  <c r="D58" i="24"/>
  <c r="D59" i="24"/>
  <c r="D60" i="24"/>
  <c r="D61" i="24"/>
  <c r="D62" i="24"/>
  <c r="D63" i="24"/>
  <c r="D64" i="24"/>
  <c r="D65" i="24"/>
  <c r="D66" i="24"/>
  <c r="D67" i="24"/>
  <c r="D68" i="24"/>
  <c r="D69" i="24"/>
  <c r="D70" i="24"/>
  <c r="D71" i="24"/>
  <c r="D72" i="24"/>
  <c r="D73" i="24"/>
  <c r="D74" i="24"/>
  <c r="D75" i="24"/>
  <c r="D76" i="24"/>
  <c r="D77" i="24"/>
  <c r="D78" i="24"/>
  <c r="D79" i="24"/>
  <c r="D80" i="24"/>
  <c r="D81" i="24"/>
  <c r="D82" i="24"/>
  <c r="D83" i="24"/>
  <c r="D84" i="24"/>
  <c r="D85" i="24"/>
  <c r="D86" i="24"/>
  <c r="D87" i="24"/>
  <c r="D88" i="24"/>
  <c r="D89" i="24"/>
  <c r="D90" i="24"/>
  <c r="D91" i="24"/>
  <c r="D92" i="24"/>
  <c r="D93" i="24"/>
  <c r="D94" i="24"/>
  <c r="D95" i="24"/>
  <c r="D96" i="24"/>
  <c r="D97" i="24"/>
  <c r="D98" i="24"/>
  <c r="D99" i="24"/>
  <c r="D100" i="24"/>
  <c r="D101" i="24"/>
  <c r="D102" i="24"/>
  <c r="D103" i="24"/>
  <c r="D104" i="24"/>
  <c r="D105" i="24"/>
  <c r="D106" i="24"/>
  <c r="D107" i="24"/>
  <c r="D108" i="24"/>
  <c r="D109" i="24"/>
  <c r="D110" i="24"/>
  <c r="D111" i="24"/>
  <c r="D112" i="24"/>
  <c r="D113" i="24"/>
  <c r="D114" i="24"/>
  <c r="D115" i="24"/>
  <c r="D116" i="24"/>
  <c r="D117" i="24"/>
  <c r="D118" i="24"/>
  <c r="D119" i="24"/>
  <c r="D120" i="24"/>
  <c r="D121" i="24"/>
  <c r="D122" i="24"/>
  <c r="D123" i="24"/>
  <c r="D124" i="24"/>
  <c r="D125" i="24"/>
  <c r="D126" i="24"/>
  <c r="D127" i="24"/>
  <c r="D128" i="24"/>
  <c r="D129" i="24"/>
  <c r="D130" i="24"/>
  <c r="D131" i="24"/>
  <c r="D132" i="24"/>
  <c r="D133" i="24"/>
  <c r="D134" i="24"/>
  <c r="D135" i="24"/>
  <c r="D136" i="24"/>
  <c r="D137" i="24"/>
  <c r="D138" i="24"/>
  <c r="D139" i="24"/>
  <c r="D140" i="24"/>
  <c r="D141" i="24"/>
  <c r="D142" i="24"/>
  <c r="D143" i="24"/>
  <c r="D144" i="24"/>
  <c r="D145" i="24"/>
  <c r="D146" i="24"/>
  <c r="D147" i="24"/>
  <c r="D148" i="24"/>
  <c r="D149" i="24"/>
  <c r="D150" i="24"/>
  <c r="D151" i="24"/>
  <c r="D152" i="24"/>
  <c r="D153" i="24"/>
  <c r="D154" i="24"/>
  <c r="D155" i="24"/>
  <c r="D156" i="24"/>
  <c r="D157" i="24"/>
  <c r="D158" i="24"/>
  <c r="D159" i="24"/>
  <c r="D160" i="24"/>
  <c r="D161" i="24"/>
  <c r="D162" i="24"/>
  <c r="D163" i="24"/>
  <c r="D164" i="24"/>
  <c r="D165" i="24"/>
  <c r="D166" i="24"/>
  <c r="D167" i="24"/>
  <c r="D168" i="24"/>
  <c r="D169" i="24"/>
  <c r="D170" i="24"/>
  <c r="D171" i="24"/>
  <c r="D172" i="24"/>
  <c r="D173" i="24"/>
  <c r="D174" i="24"/>
  <c r="D175" i="24"/>
  <c r="D176" i="24"/>
  <c r="D177" i="24"/>
  <c r="D178" i="24"/>
  <c r="D179" i="24"/>
  <c r="D180" i="24"/>
  <c r="D181" i="24"/>
  <c r="D182" i="24"/>
  <c r="D183" i="24"/>
  <c r="D184" i="24"/>
  <c r="D185" i="24"/>
  <c r="D186" i="24"/>
  <c r="D187" i="24"/>
  <c r="D188" i="24"/>
  <c r="D189" i="24"/>
  <c r="D190" i="24"/>
  <c r="D191" i="24"/>
  <c r="D192" i="24"/>
  <c r="D193" i="24"/>
  <c r="D194" i="24"/>
  <c r="D195" i="24"/>
  <c r="D196" i="24"/>
  <c r="D197" i="24"/>
  <c r="D198" i="24"/>
  <c r="D199" i="24"/>
  <c r="D200" i="24"/>
  <c r="D201" i="24"/>
  <c r="D202" i="24"/>
  <c r="D203" i="24"/>
  <c r="D204" i="24"/>
  <c r="D205" i="24"/>
  <c r="D206" i="24"/>
  <c r="D207" i="24"/>
  <c r="D208" i="24"/>
  <c r="D209" i="24"/>
  <c r="D210" i="24"/>
  <c r="D211" i="24"/>
  <c r="D212" i="24"/>
  <c r="D213" i="24"/>
  <c r="D214" i="24"/>
  <c r="D215" i="24"/>
  <c r="D4" i="24"/>
  <c r="C5" i="24"/>
  <c r="C6" i="24"/>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76" i="24"/>
  <c r="C77" i="24"/>
  <c r="C78" i="24"/>
  <c r="C79" i="24"/>
  <c r="C80" i="24"/>
  <c r="C81" i="24"/>
  <c r="C82" i="24"/>
  <c r="C83" i="24"/>
  <c r="C84" i="24"/>
  <c r="C85" i="24"/>
  <c r="C86" i="24"/>
  <c r="C87" i="24"/>
  <c r="C88" i="24"/>
  <c r="C89" i="24"/>
  <c r="C90" i="24"/>
  <c r="C91" i="24"/>
  <c r="C92" i="24"/>
  <c r="C93" i="24"/>
  <c r="C94" i="24"/>
  <c r="C95" i="24"/>
  <c r="C96" i="24"/>
  <c r="C97" i="24"/>
  <c r="C98" i="24"/>
  <c r="C99" i="24"/>
  <c r="C100" i="24"/>
  <c r="C101" i="24"/>
  <c r="C102" i="24"/>
  <c r="C103" i="24"/>
  <c r="C104" i="24"/>
  <c r="C105" i="24"/>
  <c r="C106" i="24"/>
  <c r="C107" i="24"/>
  <c r="C108" i="24"/>
  <c r="C109" i="24"/>
  <c r="C110" i="24"/>
  <c r="C111" i="24"/>
  <c r="C112" i="24"/>
  <c r="C113" i="24"/>
  <c r="C114" i="24"/>
  <c r="C115" i="24"/>
  <c r="C116" i="24"/>
  <c r="C117" i="24"/>
  <c r="C118" i="24"/>
  <c r="C119" i="24"/>
  <c r="C120" i="24"/>
  <c r="C121" i="24"/>
  <c r="C122" i="24"/>
  <c r="C123" i="24"/>
  <c r="C124" i="24"/>
  <c r="C125" i="24"/>
  <c r="C126" i="24"/>
  <c r="C127" i="24"/>
  <c r="C128" i="24"/>
  <c r="C129" i="24"/>
  <c r="C130" i="24"/>
  <c r="C131" i="24"/>
  <c r="C132" i="24"/>
  <c r="C133" i="24"/>
  <c r="C134" i="24"/>
  <c r="C135" i="24"/>
  <c r="C136" i="24"/>
  <c r="C137" i="24"/>
  <c r="C138" i="24"/>
  <c r="C139" i="24"/>
  <c r="C140" i="24"/>
  <c r="C141" i="24"/>
  <c r="C142" i="24"/>
  <c r="C143" i="24"/>
  <c r="C144" i="24"/>
  <c r="C145" i="24"/>
  <c r="C146" i="24"/>
  <c r="C147" i="24"/>
  <c r="C148" i="24"/>
  <c r="C149" i="24"/>
  <c r="C150" i="24"/>
  <c r="C151" i="24"/>
  <c r="C152" i="24"/>
  <c r="C153" i="24"/>
  <c r="C154" i="24"/>
  <c r="C155" i="24"/>
  <c r="C156" i="24"/>
  <c r="C157" i="24"/>
  <c r="C158" i="24"/>
  <c r="C159" i="24"/>
  <c r="C160" i="24"/>
  <c r="C161" i="24"/>
  <c r="C162" i="24"/>
  <c r="C163" i="24"/>
  <c r="C164" i="24"/>
  <c r="C165" i="24"/>
  <c r="C166" i="24"/>
  <c r="C167" i="24"/>
  <c r="C168" i="24"/>
  <c r="C169" i="24"/>
  <c r="C170" i="24"/>
  <c r="C171" i="24"/>
  <c r="C172" i="24"/>
  <c r="C173" i="24"/>
  <c r="C174" i="24"/>
  <c r="C175" i="24"/>
  <c r="C176" i="24"/>
  <c r="C177" i="24"/>
  <c r="C178" i="24"/>
  <c r="C179" i="24"/>
  <c r="C180" i="24"/>
  <c r="C181" i="24"/>
  <c r="C182" i="24"/>
  <c r="C183" i="24"/>
  <c r="C184" i="24"/>
  <c r="C185" i="24"/>
  <c r="C186" i="24"/>
  <c r="C187" i="24"/>
  <c r="C188" i="24"/>
  <c r="C189" i="24"/>
  <c r="C190" i="24"/>
  <c r="C191" i="24"/>
  <c r="C192" i="24"/>
  <c r="C193" i="24"/>
  <c r="C194" i="24"/>
  <c r="C195" i="24"/>
  <c r="C196" i="24"/>
  <c r="C197" i="24"/>
  <c r="C198" i="24"/>
  <c r="C199" i="24"/>
  <c r="C200" i="24"/>
  <c r="C201" i="24"/>
  <c r="C202" i="24"/>
  <c r="C203" i="24"/>
  <c r="C204" i="24"/>
  <c r="C205" i="24"/>
  <c r="C206" i="24"/>
  <c r="C207" i="24"/>
  <c r="C208" i="24"/>
  <c r="C209" i="24"/>
  <c r="C210" i="24"/>
  <c r="C211" i="24"/>
  <c r="C212" i="24"/>
  <c r="C213" i="24"/>
  <c r="C214" i="24"/>
  <c r="C215" i="24"/>
  <c r="F4" i="24" a="1"/>
  <c r="F4" i="24" s="1"/>
  <c r="F5" i="24" a="1"/>
  <c r="F5" i="24" s="1"/>
  <c r="F6" i="24" a="1"/>
  <c r="F6" i="24" s="1"/>
  <c r="F7" i="24" a="1"/>
  <c r="F7" i="24" s="1"/>
  <c r="F8" i="24" a="1"/>
  <c r="F8" i="24" s="1"/>
  <c r="F9" i="24" a="1"/>
  <c r="F9" i="24" s="1"/>
  <c r="F10" i="24" a="1"/>
  <c r="F10" i="24" s="1"/>
  <c r="F11" i="24" a="1"/>
  <c r="F11" i="24" s="1"/>
  <c r="F12" i="24" a="1"/>
  <c r="F12" i="24" s="1"/>
  <c r="F13" i="24" a="1"/>
  <c r="F13" i="24" s="1"/>
  <c r="F14" i="24" a="1"/>
  <c r="F14" i="24" s="1"/>
  <c r="F15" i="24" a="1"/>
  <c r="F15" i="24" s="1"/>
  <c r="F16" i="24" a="1"/>
  <c r="F16" i="24" s="1"/>
  <c r="F17" i="24" a="1"/>
  <c r="F17" i="24" s="1"/>
  <c r="F18" i="24" a="1"/>
  <c r="F18" i="24" s="1"/>
  <c r="F19" i="24" a="1"/>
  <c r="F19" i="24" s="1"/>
  <c r="F20" i="24" a="1"/>
  <c r="F20" i="24" s="1"/>
  <c r="F21" i="24" a="1"/>
  <c r="F21" i="24" s="1"/>
  <c r="F22" i="24" a="1"/>
  <c r="F22" i="24" s="1"/>
  <c r="F23" i="24" a="1"/>
  <c r="F23" i="24" s="1"/>
  <c r="F24" i="24" a="1"/>
  <c r="F24" i="24" s="1"/>
  <c r="F25" i="24" a="1"/>
  <c r="F25" i="24" s="1"/>
  <c r="F26" i="24" a="1"/>
  <c r="F26" i="24" s="1"/>
  <c r="F27" i="24" a="1"/>
  <c r="F27" i="24" s="1"/>
  <c r="F28" i="24" a="1"/>
  <c r="F28" i="24" s="1"/>
  <c r="F29" i="24" a="1"/>
  <c r="F29" i="24" s="1"/>
  <c r="F30" i="24" a="1"/>
  <c r="F30" i="24" s="1"/>
  <c r="F31" i="24" a="1"/>
  <c r="F31" i="24" s="1"/>
  <c r="F32" i="24" a="1"/>
  <c r="F32" i="24" s="1"/>
  <c r="F33" i="24" a="1"/>
  <c r="F33" i="24" s="1"/>
  <c r="F34" i="24" a="1"/>
  <c r="F34" i="24" s="1"/>
  <c r="F35" i="24" a="1"/>
  <c r="F35" i="24" s="1"/>
  <c r="F36" i="24" a="1"/>
  <c r="F36" i="24" s="1"/>
  <c r="F37" i="24" a="1"/>
  <c r="F37" i="24" s="1"/>
  <c r="F38" i="24" a="1"/>
  <c r="F38" i="24" s="1"/>
  <c r="F39" i="24" a="1"/>
  <c r="F39" i="24" s="1"/>
  <c r="F40" i="24" a="1"/>
  <c r="F40" i="24" s="1"/>
  <c r="F41" i="24" a="1"/>
  <c r="F41" i="24" s="1"/>
  <c r="F42" i="24" a="1"/>
  <c r="F42" i="24" s="1"/>
  <c r="F43" i="24" a="1"/>
  <c r="F43" i="24" s="1"/>
  <c r="F44" i="24" a="1"/>
  <c r="F44" i="24" s="1"/>
  <c r="F45" i="24" a="1"/>
  <c r="F45" i="24" s="1"/>
  <c r="F46" i="24" a="1"/>
  <c r="F46" i="24" s="1"/>
  <c r="F47" i="24" a="1"/>
  <c r="F47" i="24" s="1"/>
  <c r="F48" i="24" a="1"/>
  <c r="F48" i="24" s="1"/>
  <c r="F49" i="24" a="1"/>
  <c r="F49" i="24" s="1"/>
  <c r="F50" i="24" a="1"/>
  <c r="F50" i="24" s="1"/>
  <c r="F51" i="24" a="1"/>
  <c r="F51" i="24" s="1"/>
  <c r="F52" i="24" a="1"/>
  <c r="F52" i="24" s="1"/>
  <c r="F53" i="24" a="1"/>
  <c r="F53" i="24" s="1"/>
  <c r="F54" i="24" a="1"/>
  <c r="F54" i="24" s="1"/>
  <c r="F55" i="24" a="1"/>
  <c r="F55" i="24" s="1"/>
  <c r="F56" i="24" a="1"/>
  <c r="F56" i="24" s="1"/>
  <c r="F57" i="24" a="1"/>
  <c r="F57" i="24" s="1"/>
  <c r="F58" i="24" a="1"/>
  <c r="F58" i="24" s="1"/>
  <c r="F59" i="24" a="1"/>
  <c r="F59" i="24" s="1"/>
  <c r="F60" i="24" a="1"/>
  <c r="F60" i="24" s="1"/>
  <c r="F61" i="24" a="1"/>
  <c r="F61" i="24" s="1"/>
  <c r="F62" i="24" a="1"/>
  <c r="F62" i="24" s="1"/>
  <c r="F63" i="24" a="1"/>
  <c r="F63" i="24" s="1"/>
  <c r="F64" i="24" a="1"/>
  <c r="F64" i="24" s="1"/>
  <c r="F65" i="24" a="1"/>
  <c r="F65" i="24" s="1"/>
  <c r="F66" i="24" a="1"/>
  <c r="F66" i="24" s="1"/>
  <c r="F67" i="24" a="1"/>
  <c r="F67" i="24" s="1"/>
  <c r="F68" i="24" a="1"/>
  <c r="F68" i="24" s="1"/>
  <c r="F69" i="24" a="1"/>
  <c r="F69" i="24" s="1"/>
  <c r="F70" i="24" a="1"/>
  <c r="F70" i="24" s="1"/>
  <c r="F71" i="24" a="1"/>
  <c r="F71" i="24" s="1"/>
  <c r="F72" i="24" a="1"/>
  <c r="F72" i="24" s="1"/>
  <c r="F73" i="24" a="1"/>
  <c r="F73" i="24" s="1"/>
  <c r="F74" i="24" a="1"/>
  <c r="F74" i="24" s="1"/>
  <c r="F75" i="24" a="1"/>
  <c r="F75" i="24" s="1"/>
  <c r="F76" i="24" a="1"/>
  <c r="F76" i="24" s="1"/>
  <c r="F77" i="24" a="1"/>
  <c r="F77" i="24" s="1"/>
  <c r="F78" i="24" a="1"/>
  <c r="F78" i="24" s="1"/>
  <c r="F79" i="24" a="1"/>
  <c r="F79" i="24" s="1"/>
  <c r="F80" i="24" a="1"/>
  <c r="F80" i="24" s="1"/>
  <c r="F81" i="24" a="1"/>
  <c r="F81" i="24" s="1"/>
  <c r="F82" i="24" a="1"/>
  <c r="F82" i="24" s="1"/>
  <c r="F83" i="24" a="1"/>
  <c r="F83" i="24" s="1"/>
  <c r="F84" i="24" a="1"/>
  <c r="F84" i="24" s="1"/>
  <c r="F85" i="24" a="1"/>
  <c r="F85" i="24" s="1"/>
  <c r="F86" i="24" a="1"/>
  <c r="F86" i="24" s="1"/>
  <c r="F87" i="24" a="1"/>
  <c r="F87" i="24" s="1"/>
  <c r="F88" i="24" a="1"/>
  <c r="F88" i="24" s="1"/>
  <c r="F89" i="24" a="1"/>
  <c r="F89" i="24" s="1"/>
  <c r="F90" i="24" a="1"/>
  <c r="F90" i="24" s="1"/>
  <c r="F91" i="24" a="1"/>
  <c r="F91" i="24" s="1"/>
  <c r="F92" i="24" a="1"/>
  <c r="F92" i="24" s="1"/>
  <c r="F93" i="24" a="1"/>
  <c r="F93" i="24" s="1"/>
  <c r="F94" i="24" a="1"/>
  <c r="F94" i="24" s="1"/>
  <c r="F95" i="24" a="1"/>
  <c r="F95" i="24" s="1"/>
  <c r="F96" i="24" a="1"/>
  <c r="F96" i="24" s="1"/>
  <c r="F97" i="24" a="1"/>
  <c r="F97" i="24" s="1"/>
  <c r="F98" i="24" a="1"/>
  <c r="F98" i="24" s="1"/>
  <c r="F99" i="24" a="1"/>
  <c r="F99" i="24" s="1"/>
  <c r="F100" i="24" a="1"/>
  <c r="F100" i="24" s="1"/>
  <c r="F101" i="24" a="1"/>
  <c r="F101" i="24" s="1"/>
  <c r="F102" i="24" a="1"/>
  <c r="F102" i="24" s="1"/>
  <c r="F103" i="24" a="1"/>
  <c r="F103" i="24" s="1"/>
  <c r="F104" i="24" a="1"/>
  <c r="F104" i="24" s="1"/>
  <c r="F105" i="24" a="1"/>
  <c r="F105" i="24" s="1"/>
  <c r="F106" i="24" a="1"/>
  <c r="F106" i="24" s="1"/>
  <c r="F107" i="24" a="1"/>
  <c r="F107" i="24" s="1"/>
  <c r="F108" i="24" a="1"/>
  <c r="F108" i="24" s="1"/>
  <c r="F109" i="24" a="1"/>
  <c r="F109" i="24" s="1"/>
  <c r="F110" i="24" a="1"/>
  <c r="F110" i="24" s="1"/>
  <c r="F111" i="24" a="1"/>
  <c r="F111" i="24" s="1"/>
  <c r="F112" i="24" a="1"/>
  <c r="F112" i="24" s="1"/>
  <c r="F113" i="24" a="1"/>
  <c r="F113" i="24" s="1"/>
  <c r="F114" i="24" a="1"/>
  <c r="F114" i="24" s="1"/>
  <c r="F115" i="24" a="1"/>
  <c r="F115" i="24" s="1"/>
  <c r="F116" i="24" a="1"/>
  <c r="F116" i="24" s="1"/>
  <c r="F117" i="24" a="1"/>
  <c r="F117" i="24" s="1"/>
  <c r="F118" i="24" a="1"/>
  <c r="F118" i="24" s="1"/>
  <c r="F119" i="24" a="1"/>
  <c r="F119" i="24" s="1"/>
  <c r="F120" i="24" a="1"/>
  <c r="F120" i="24" s="1"/>
  <c r="F121" i="24" a="1"/>
  <c r="F121" i="24" s="1"/>
  <c r="F122" i="24" a="1"/>
  <c r="F122" i="24" s="1"/>
  <c r="F123" i="24" a="1"/>
  <c r="F123" i="24" s="1"/>
  <c r="F124" i="24" a="1"/>
  <c r="F124" i="24" s="1"/>
  <c r="F125" i="24" a="1"/>
  <c r="F125" i="24" s="1"/>
  <c r="F126" i="24" a="1"/>
  <c r="F126" i="24" s="1"/>
  <c r="F127" i="24" a="1"/>
  <c r="F127" i="24" s="1"/>
  <c r="F128" i="24" a="1"/>
  <c r="F128" i="24" s="1"/>
  <c r="F129" i="24" a="1"/>
  <c r="F129" i="24" s="1"/>
  <c r="F130" i="24" a="1"/>
  <c r="F130" i="24" s="1"/>
  <c r="F131" i="24" a="1"/>
  <c r="F131" i="24" s="1"/>
  <c r="F132" i="24" a="1"/>
  <c r="F132" i="24" s="1"/>
  <c r="F133" i="24" a="1"/>
  <c r="F133" i="24" s="1"/>
  <c r="F134" i="24" a="1"/>
  <c r="F134" i="24" s="1"/>
  <c r="F135" i="24" a="1"/>
  <c r="F135" i="24" s="1"/>
  <c r="F136" i="24" a="1"/>
  <c r="F136" i="24" s="1"/>
  <c r="F137" i="24" a="1"/>
  <c r="F137" i="24" s="1"/>
  <c r="F138" i="24" a="1"/>
  <c r="F138" i="24" s="1"/>
  <c r="F139" i="24" a="1"/>
  <c r="F139" i="24" s="1"/>
  <c r="F140" i="24" a="1"/>
  <c r="F140" i="24" s="1"/>
  <c r="F141" i="24" a="1"/>
  <c r="F141" i="24" s="1"/>
  <c r="F142" i="24" a="1"/>
  <c r="F142" i="24" s="1"/>
  <c r="F143" i="24" a="1"/>
  <c r="F143" i="24" s="1"/>
  <c r="F144" i="24" a="1"/>
  <c r="F144" i="24" s="1"/>
  <c r="F145" i="24" a="1"/>
  <c r="F145" i="24" s="1"/>
  <c r="F146" i="24" a="1"/>
  <c r="F146" i="24" s="1"/>
  <c r="F147" i="24" a="1"/>
  <c r="F147" i="24" s="1"/>
  <c r="F148" i="24" a="1"/>
  <c r="F148" i="24" s="1"/>
  <c r="F149" i="24" a="1"/>
  <c r="F149" i="24" s="1"/>
  <c r="F150" i="24" a="1"/>
  <c r="F150" i="24" s="1"/>
  <c r="F151" i="24" a="1"/>
  <c r="F151" i="24" s="1"/>
  <c r="F152" i="24" a="1"/>
  <c r="F152" i="24" s="1"/>
  <c r="F153" i="24" a="1"/>
  <c r="F153" i="24" s="1"/>
  <c r="F154" i="24" a="1"/>
  <c r="F154" i="24" s="1"/>
  <c r="F155" i="24" a="1"/>
  <c r="F155" i="24" s="1"/>
  <c r="F156" i="24" a="1"/>
  <c r="F156" i="24" s="1"/>
  <c r="F157" i="24" a="1"/>
  <c r="F157" i="24" s="1"/>
  <c r="F158" i="24" a="1"/>
  <c r="F158" i="24" s="1"/>
  <c r="F159" i="24" a="1"/>
  <c r="F159" i="24" s="1"/>
  <c r="F160" i="24" a="1"/>
  <c r="F160" i="24" s="1"/>
  <c r="F161" i="24" a="1"/>
  <c r="F161" i="24" s="1"/>
  <c r="F162" i="24" a="1"/>
  <c r="F162" i="24" s="1"/>
  <c r="F163" i="24" a="1"/>
  <c r="F163" i="24" s="1"/>
  <c r="F164" i="24" a="1"/>
  <c r="F164" i="24" s="1"/>
  <c r="F165" i="24" a="1"/>
  <c r="F165" i="24" s="1"/>
  <c r="F166" i="24" a="1"/>
  <c r="F166" i="24" s="1"/>
  <c r="F167" i="24" a="1"/>
  <c r="F167" i="24" s="1"/>
  <c r="F168" i="24" a="1"/>
  <c r="F168" i="24" s="1"/>
  <c r="F169" i="24" a="1"/>
  <c r="F169" i="24" s="1"/>
  <c r="F170" i="24" a="1"/>
  <c r="F170" i="24" s="1"/>
  <c r="F171" i="24" a="1"/>
  <c r="F171" i="24" s="1"/>
  <c r="F172" i="24" a="1"/>
  <c r="F172" i="24" s="1"/>
  <c r="F173" i="24" a="1"/>
  <c r="F173" i="24" s="1"/>
  <c r="F174" i="24" a="1"/>
  <c r="F174" i="24" s="1"/>
  <c r="F175" i="24" a="1"/>
  <c r="F175" i="24" s="1"/>
  <c r="F176" i="24" a="1"/>
  <c r="F176" i="24" s="1"/>
  <c r="F177" i="24" a="1"/>
  <c r="F177" i="24" s="1"/>
  <c r="F178" i="24" a="1"/>
  <c r="F178" i="24" s="1"/>
  <c r="F179" i="24" a="1"/>
  <c r="F179" i="24" s="1"/>
  <c r="F180" i="24" a="1"/>
  <c r="F180" i="24" s="1"/>
  <c r="F181" i="24" a="1"/>
  <c r="F181" i="24" s="1"/>
  <c r="F182" i="24" a="1"/>
  <c r="F182" i="24" s="1"/>
  <c r="F183" i="24" a="1"/>
  <c r="F183" i="24" s="1"/>
  <c r="F184" i="24" a="1"/>
  <c r="F184" i="24" s="1"/>
  <c r="F185" i="24" a="1"/>
  <c r="F185" i="24" s="1"/>
  <c r="F186" i="24" a="1"/>
  <c r="F186" i="24" s="1"/>
  <c r="F187" i="24" a="1"/>
  <c r="F187" i="24" s="1"/>
  <c r="F188" i="24" a="1"/>
  <c r="F188" i="24" s="1"/>
  <c r="F189" i="24" a="1"/>
  <c r="F189" i="24" s="1"/>
  <c r="F190" i="24" a="1"/>
  <c r="F190" i="24" s="1"/>
  <c r="F191" i="24" a="1"/>
  <c r="F191" i="24" s="1"/>
  <c r="F192" i="24" a="1"/>
  <c r="F192" i="24" s="1"/>
  <c r="F193" i="24" a="1"/>
  <c r="F193" i="24" s="1"/>
  <c r="F194" i="24" a="1"/>
  <c r="F194" i="24" s="1"/>
  <c r="F195" i="24" a="1"/>
  <c r="F195" i="24" s="1"/>
  <c r="F196" i="24" a="1"/>
  <c r="F196" i="24" s="1"/>
  <c r="F197" i="24" a="1"/>
  <c r="F197" i="24" s="1"/>
  <c r="F198" i="24" a="1"/>
  <c r="F198" i="24" s="1"/>
  <c r="F199" i="24" a="1"/>
  <c r="F199" i="24" s="1"/>
  <c r="F200" i="24" a="1"/>
  <c r="F200" i="24" s="1"/>
  <c r="F201" i="24" a="1"/>
  <c r="F201" i="24" s="1"/>
  <c r="F202" i="24" a="1"/>
  <c r="F202" i="24" s="1"/>
  <c r="F203" i="24" a="1"/>
  <c r="F203" i="24" s="1"/>
  <c r="F204" i="24" a="1"/>
  <c r="F204" i="24" s="1"/>
  <c r="F205" i="24" a="1"/>
  <c r="F205" i="24" s="1"/>
  <c r="F206" i="24" a="1"/>
  <c r="F206" i="24" s="1"/>
  <c r="F207" i="24" a="1"/>
  <c r="F207" i="24" s="1"/>
  <c r="F208" i="24" a="1"/>
  <c r="F208" i="24" s="1"/>
  <c r="F209" i="24" a="1"/>
  <c r="F209" i="24" s="1"/>
  <c r="F210" i="24" a="1"/>
  <c r="F210" i="24" s="1"/>
  <c r="F211" i="24" a="1"/>
  <c r="F211" i="24" s="1"/>
  <c r="F212" i="24" a="1"/>
  <c r="F212" i="24" s="1"/>
  <c r="F213" i="24" a="1"/>
  <c r="F213" i="24" s="1"/>
  <c r="F214" i="24" a="1"/>
  <c r="F214" i="24" s="1"/>
  <c r="F215" i="24" a="1"/>
  <c r="F215" i="24" s="1"/>
  <c r="B5" i="24"/>
  <c r="B6" i="24" s="1"/>
  <c r="B7" i="24" s="1"/>
  <c r="B8" i="24" s="1"/>
  <c r="B9" i="24" s="1"/>
  <c r="B10" i="24" s="1"/>
  <c r="B11" i="24" s="1"/>
  <c r="B12" i="24" s="1"/>
  <c r="B13" i="24" s="1"/>
  <c r="B14" i="24" s="1"/>
  <c r="B15" i="24" s="1"/>
  <c r="B16" i="24" s="1"/>
  <c r="B17" i="24" s="1"/>
  <c r="B18" i="24" s="1"/>
  <c r="B19" i="24" s="1"/>
  <c r="B20" i="24" s="1"/>
  <c r="B21" i="24" s="1"/>
  <c r="B22" i="24" s="1"/>
  <c r="B23" i="24" s="1"/>
  <c r="B24" i="24" s="1"/>
  <c r="B25" i="24" s="1"/>
  <c r="B26" i="24" s="1"/>
  <c r="B27" i="24" s="1"/>
  <c r="B28" i="24" s="1"/>
  <c r="B29" i="24" s="1"/>
  <c r="B30" i="24" s="1"/>
  <c r="B31" i="24" s="1"/>
  <c r="B32" i="24" s="1"/>
  <c r="B33" i="24" s="1"/>
  <c r="B34" i="24" s="1"/>
  <c r="B35" i="24" s="1"/>
  <c r="B36" i="24" s="1"/>
  <c r="B37" i="24" s="1"/>
  <c r="B38" i="24" s="1"/>
  <c r="B39" i="24" s="1"/>
  <c r="B40" i="24" s="1"/>
  <c r="B41" i="24" s="1"/>
  <c r="B42" i="24" s="1"/>
  <c r="B43" i="24" s="1"/>
  <c r="B44" i="24" s="1"/>
  <c r="B45" i="24" s="1"/>
  <c r="B46" i="24" s="1"/>
  <c r="B47" i="24" s="1"/>
  <c r="B48" i="24" s="1"/>
  <c r="B49" i="24" s="1"/>
  <c r="B50" i="24" s="1"/>
  <c r="B51" i="24" s="1"/>
  <c r="B52" i="24" s="1"/>
  <c r="B53" i="24" s="1"/>
  <c r="B54" i="24" s="1"/>
  <c r="B55" i="24" s="1"/>
  <c r="B56" i="24" s="1"/>
  <c r="B57" i="24" s="1"/>
  <c r="B58" i="24" s="1"/>
  <c r="B59" i="24" s="1"/>
  <c r="B60" i="24" s="1"/>
  <c r="B61" i="24" s="1"/>
  <c r="B62" i="24" s="1"/>
  <c r="B63" i="24" s="1"/>
  <c r="B64" i="24" s="1"/>
  <c r="B65" i="24" s="1"/>
  <c r="B66" i="24" s="1"/>
  <c r="B67" i="24" s="1"/>
  <c r="B68" i="24" s="1"/>
  <c r="B69" i="24" s="1"/>
  <c r="B70" i="24" s="1"/>
  <c r="B71" i="24" s="1"/>
  <c r="B72" i="24" s="1"/>
  <c r="B73" i="24" s="1"/>
  <c r="B74" i="24" s="1"/>
  <c r="B75" i="24" s="1"/>
  <c r="B76" i="24" s="1"/>
  <c r="B77" i="24" s="1"/>
  <c r="B78" i="24" s="1"/>
  <c r="B79" i="24" s="1"/>
  <c r="B80" i="24" s="1"/>
  <c r="B81" i="24" s="1"/>
  <c r="B82" i="24" s="1"/>
  <c r="B83" i="24" s="1"/>
  <c r="B84" i="24" s="1"/>
  <c r="B85" i="24" s="1"/>
  <c r="B86" i="24" s="1"/>
  <c r="B87" i="24" s="1"/>
  <c r="B88" i="24" s="1"/>
  <c r="B89" i="24" s="1"/>
  <c r="B90" i="24" s="1"/>
  <c r="B91" i="24" s="1"/>
  <c r="B92" i="24" s="1"/>
  <c r="B93" i="24" s="1"/>
  <c r="B94" i="24" s="1"/>
  <c r="B95" i="24" s="1"/>
  <c r="B96" i="24" s="1"/>
  <c r="B97" i="24" s="1"/>
  <c r="B98" i="24" s="1"/>
  <c r="B99" i="24" s="1"/>
  <c r="B100" i="24" s="1"/>
  <c r="B101" i="24" s="1"/>
  <c r="B102" i="24" s="1"/>
  <c r="B103" i="24" s="1"/>
  <c r="B104" i="24" s="1"/>
  <c r="B105" i="24" s="1"/>
  <c r="B106" i="24" s="1"/>
  <c r="B107" i="24" s="1"/>
  <c r="B108" i="24" s="1"/>
  <c r="B109" i="24" s="1"/>
  <c r="B110" i="24" s="1"/>
  <c r="B111" i="24" s="1"/>
  <c r="B112" i="24" s="1"/>
  <c r="B113" i="24" s="1"/>
  <c r="B114" i="24" s="1"/>
  <c r="B115" i="24" s="1"/>
  <c r="B116" i="24" s="1"/>
  <c r="B117" i="24" s="1"/>
  <c r="B118" i="24" s="1"/>
  <c r="B119" i="24" s="1"/>
  <c r="B120" i="24" s="1"/>
  <c r="B121" i="24" s="1"/>
  <c r="B122" i="24" s="1"/>
  <c r="B123" i="24" s="1"/>
  <c r="B124" i="24" s="1"/>
  <c r="B125" i="24" s="1"/>
  <c r="B126" i="24" s="1"/>
  <c r="B127" i="24" s="1"/>
  <c r="B128" i="24" s="1"/>
  <c r="B129" i="24" s="1"/>
  <c r="B130" i="24" s="1"/>
  <c r="B131" i="24" s="1"/>
  <c r="B132" i="24" s="1"/>
  <c r="B133" i="24" s="1"/>
  <c r="B134" i="24" s="1"/>
  <c r="B135" i="24" s="1"/>
  <c r="B136" i="24" s="1"/>
  <c r="B137" i="24" s="1"/>
  <c r="B138" i="24" s="1"/>
  <c r="B139" i="24" s="1"/>
  <c r="B140" i="24" s="1"/>
  <c r="B141" i="24" s="1"/>
  <c r="B142" i="24" s="1"/>
  <c r="B143" i="24" s="1"/>
  <c r="B144" i="24" s="1"/>
  <c r="B145" i="24" s="1"/>
  <c r="B146" i="24" s="1"/>
  <c r="B147" i="24" s="1"/>
  <c r="B148" i="24" s="1"/>
  <c r="B149" i="24" s="1"/>
  <c r="B150" i="24" s="1"/>
  <c r="B151" i="24" s="1"/>
  <c r="B152" i="24" s="1"/>
  <c r="B153" i="24" s="1"/>
  <c r="B154" i="24" s="1"/>
  <c r="B155" i="24" s="1"/>
  <c r="B156" i="24" s="1"/>
  <c r="B157" i="24" s="1"/>
  <c r="B158" i="24" s="1"/>
  <c r="B159" i="24" s="1"/>
  <c r="B160" i="24" s="1"/>
  <c r="B161" i="24" s="1"/>
  <c r="B162" i="24" s="1"/>
  <c r="B163" i="24" s="1"/>
  <c r="B164" i="24" s="1"/>
  <c r="B165" i="24" s="1"/>
  <c r="B166" i="24" s="1"/>
  <c r="B167" i="24" s="1"/>
  <c r="B168" i="24" s="1"/>
  <c r="B169" i="24" s="1"/>
  <c r="B170" i="24" s="1"/>
  <c r="B171" i="24" s="1"/>
  <c r="B172" i="24" s="1"/>
  <c r="B173" i="24" s="1"/>
  <c r="B174" i="24" s="1"/>
  <c r="B175" i="24" s="1"/>
  <c r="B176" i="24" s="1"/>
  <c r="B177" i="24" s="1"/>
  <c r="B178" i="24" s="1"/>
  <c r="B179" i="24" s="1"/>
  <c r="B180" i="24" s="1"/>
  <c r="B181" i="24" s="1"/>
  <c r="B182" i="24" s="1"/>
  <c r="B183" i="24" s="1"/>
  <c r="B184" i="24" s="1"/>
  <c r="B185" i="24" s="1"/>
  <c r="B186" i="24" s="1"/>
  <c r="B187" i="24" s="1"/>
  <c r="B188" i="24" s="1"/>
  <c r="B189" i="24" s="1"/>
  <c r="B190" i="24" s="1"/>
  <c r="B191" i="24" s="1"/>
  <c r="B192" i="24" s="1"/>
  <c r="B193" i="24" s="1"/>
  <c r="B194" i="24" s="1"/>
  <c r="B195" i="24" s="1"/>
  <c r="B196" i="24" s="1"/>
  <c r="B197" i="24" s="1"/>
  <c r="B198" i="24" s="1"/>
  <c r="B199" i="24" s="1"/>
  <c r="B200" i="24" s="1"/>
  <c r="B201" i="24" s="1"/>
  <c r="B202" i="24" s="1"/>
  <c r="B203" i="24" s="1"/>
  <c r="B204" i="24" s="1"/>
  <c r="B205" i="24" s="1"/>
  <c r="B206" i="24" s="1"/>
  <c r="B207" i="24" s="1"/>
  <c r="B208" i="24" s="1"/>
  <c r="B209" i="24" s="1"/>
  <c r="B210" i="24" s="1"/>
  <c r="B211" i="24" s="1"/>
  <c r="B212" i="24" s="1"/>
  <c r="B213" i="24" s="1"/>
  <c r="B214" i="24" s="1"/>
  <c r="B215" i="24" s="1"/>
  <c r="E214" i="24" l="1"/>
  <c r="G214" i="24" s="1"/>
  <c r="E206" i="24"/>
  <c r="G206" i="24" s="1"/>
  <c r="E198" i="24"/>
  <c r="G198" i="24" s="1"/>
  <c r="E190" i="24"/>
  <c r="G190" i="24" s="1"/>
  <c r="E182" i="24"/>
  <c r="G182" i="24" s="1"/>
  <c r="E174" i="24"/>
  <c r="G174" i="24" s="1"/>
  <c r="E166" i="24"/>
  <c r="G166" i="24" s="1"/>
  <c r="E158" i="24"/>
  <c r="G158" i="24" s="1"/>
  <c r="E150" i="24"/>
  <c r="G150" i="24" s="1"/>
  <c r="E142" i="24"/>
  <c r="G142" i="24" s="1"/>
  <c r="E134" i="24"/>
  <c r="G134" i="24" s="1"/>
  <c r="E126" i="24"/>
  <c r="G126" i="24" s="1"/>
  <c r="E118" i="24"/>
  <c r="G118" i="24" s="1"/>
  <c r="E110" i="24"/>
  <c r="G110" i="24" s="1"/>
  <c r="E102" i="24"/>
  <c r="G102" i="24" s="1"/>
  <c r="E94" i="24"/>
  <c r="G94" i="24" s="1"/>
  <c r="E86" i="24"/>
  <c r="G86" i="24" s="1"/>
  <c r="E78" i="24"/>
  <c r="G78" i="24" s="1"/>
  <c r="E70" i="24"/>
  <c r="G70" i="24" s="1"/>
  <c r="E62" i="24"/>
  <c r="G62" i="24" s="1"/>
  <c r="E54" i="24"/>
  <c r="G54" i="24" s="1"/>
  <c r="E46" i="24"/>
  <c r="G46" i="24" s="1"/>
  <c r="E38" i="24"/>
  <c r="G38" i="24" s="1"/>
  <c r="E30" i="24"/>
  <c r="G30" i="24" s="1"/>
  <c r="E22" i="24"/>
  <c r="G22" i="24" s="1"/>
  <c r="E14" i="24"/>
  <c r="G14" i="24" s="1"/>
  <c r="E215" i="24"/>
  <c r="G215" i="24" s="1"/>
  <c r="E207" i="24"/>
  <c r="G207" i="24" s="1"/>
  <c r="E199" i="24"/>
  <c r="G199" i="24" s="1"/>
  <c r="E191" i="24"/>
  <c r="G191" i="24" s="1"/>
  <c r="E183" i="24"/>
  <c r="G183" i="24" s="1"/>
  <c r="E175" i="24"/>
  <c r="G175" i="24" s="1"/>
  <c r="E167" i="24"/>
  <c r="G167" i="24" s="1"/>
  <c r="E159" i="24"/>
  <c r="G159" i="24" s="1"/>
  <c r="E151" i="24"/>
  <c r="G151" i="24" s="1"/>
  <c r="E143" i="24"/>
  <c r="G143" i="24" s="1"/>
  <c r="E135" i="24"/>
  <c r="G135" i="24" s="1"/>
  <c r="E127" i="24"/>
  <c r="G127" i="24" s="1"/>
  <c r="E119" i="24"/>
  <c r="G119" i="24" s="1"/>
  <c r="E111" i="24"/>
  <c r="G111" i="24" s="1"/>
  <c r="E103" i="24"/>
  <c r="G103" i="24" s="1"/>
  <c r="E95" i="24"/>
  <c r="G95" i="24" s="1"/>
  <c r="E87" i="24"/>
  <c r="G87" i="24" s="1"/>
  <c r="E79" i="24"/>
  <c r="G79" i="24" s="1"/>
  <c r="E71" i="24"/>
  <c r="G71" i="24" s="1"/>
  <c r="E63" i="24"/>
  <c r="G63" i="24" s="1"/>
  <c r="E55" i="24"/>
  <c r="G55" i="24" s="1"/>
  <c r="E47" i="24"/>
  <c r="G47" i="24" s="1"/>
  <c r="E39" i="24"/>
  <c r="G39" i="24" s="1"/>
  <c r="E31" i="24"/>
  <c r="G31" i="24" s="1"/>
  <c r="E23" i="24"/>
  <c r="G23" i="24" s="1"/>
  <c r="E15" i="24"/>
  <c r="G15" i="24" s="1"/>
  <c r="E212" i="24"/>
  <c r="G212" i="24" s="1"/>
  <c r="E204" i="24"/>
  <c r="G204" i="24" s="1"/>
  <c r="E196" i="24"/>
  <c r="G196" i="24" s="1"/>
  <c r="E188" i="24"/>
  <c r="G188" i="24" s="1"/>
  <c r="E180" i="24"/>
  <c r="G180" i="24" s="1"/>
  <c r="E172" i="24"/>
  <c r="G172" i="24" s="1"/>
  <c r="E164" i="24"/>
  <c r="G164" i="24" s="1"/>
  <c r="E156" i="24"/>
  <c r="G156" i="24" s="1"/>
  <c r="E148" i="24"/>
  <c r="G148" i="24" s="1"/>
  <c r="E140" i="24"/>
  <c r="G140" i="24" s="1"/>
  <c r="E132" i="24"/>
  <c r="G132" i="24" s="1"/>
  <c r="E124" i="24"/>
  <c r="G124" i="24" s="1"/>
  <c r="E116" i="24"/>
  <c r="G116" i="24" s="1"/>
  <c r="E108" i="24"/>
  <c r="G108" i="24" s="1"/>
  <c r="E100" i="24"/>
  <c r="G100" i="24" s="1"/>
  <c r="E92" i="24"/>
  <c r="G92" i="24" s="1"/>
  <c r="E84" i="24"/>
  <c r="G84" i="24" s="1"/>
  <c r="E76" i="24"/>
  <c r="G76" i="24" s="1"/>
  <c r="E68" i="24"/>
  <c r="G68" i="24" s="1"/>
  <c r="E60" i="24"/>
  <c r="G60" i="24" s="1"/>
  <c r="E52" i="24"/>
  <c r="G52" i="24" s="1"/>
  <c r="E44" i="24"/>
  <c r="G44" i="24" s="1"/>
  <c r="E36" i="24"/>
  <c r="G36" i="24" s="1"/>
  <c r="E28" i="24"/>
  <c r="G28" i="24" s="1"/>
  <c r="E20" i="24"/>
  <c r="G20" i="24" s="1"/>
  <c r="E210" i="24"/>
  <c r="G210" i="24" s="1"/>
  <c r="E202" i="24"/>
  <c r="G202" i="24" s="1"/>
  <c r="E194" i="24"/>
  <c r="G194" i="24" s="1"/>
  <c r="E186" i="24"/>
  <c r="G186" i="24" s="1"/>
  <c r="E178" i="24"/>
  <c r="G178" i="24" s="1"/>
  <c r="E170" i="24"/>
  <c r="G170" i="24" s="1"/>
  <c r="E162" i="24"/>
  <c r="G162" i="24" s="1"/>
  <c r="E154" i="24"/>
  <c r="G154" i="24" s="1"/>
  <c r="E146" i="24"/>
  <c r="G146" i="24" s="1"/>
  <c r="E138" i="24"/>
  <c r="G138" i="24" s="1"/>
  <c r="E130" i="24"/>
  <c r="G130" i="24" s="1"/>
  <c r="E122" i="24"/>
  <c r="G122" i="24" s="1"/>
  <c r="E114" i="24"/>
  <c r="G114" i="24" s="1"/>
  <c r="E106" i="24"/>
  <c r="G106" i="24" s="1"/>
  <c r="E98" i="24"/>
  <c r="G98" i="24" s="1"/>
  <c r="E90" i="24"/>
  <c r="G90" i="24" s="1"/>
  <c r="E82" i="24"/>
  <c r="G82" i="24" s="1"/>
  <c r="E74" i="24"/>
  <c r="G74" i="24" s="1"/>
  <c r="E66" i="24"/>
  <c r="G66" i="24" s="1"/>
  <c r="E58" i="24"/>
  <c r="G58" i="24" s="1"/>
  <c r="E50" i="24"/>
  <c r="G50" i="24" s="1"/>
  <c r="E42" i="24"/>
  <c r="G42" i="24" s="1"/>
  <c r="E34" i="24"/>
  <c r="G34" i="24" s="1"/>
  <c r="E26" i="24"/>
  <c r="G26" i="24" s="1"/>
  <c r="E18" i="24"/>
  <c r="G18" i="24" s="1"/>
  <c r="E12" i="24"/>
  <c r="G12" i="24" s="1"/>
  <c r="E211" i="24"/>
  <c r="G211" i="24" s="1"/>
  <c r="E203" i="24"/>
  <c r="G203" i="24" s="1"/>
  <c r="E195" i="24"/>
  <c r="G195" i="24" s="1"/>
  <c r="E187" i="24"/>
  <c r="G187" i="24" s="1"/>
  <c r="E179" i="24"/>
  <c r="G179" i="24" s="1"/>
  <c r="E171" i="24"/>
  <c r="G171" i="24" s="1"/>
  <c r="E163" i="24"/>
  <c r="G163" i="24" s="1"/>
  <c r="E155" i="24"/>
  <c r="G155" i="24" s="1"/>
  <c r="E147" i="24"/>
  <c r="G147" i="24" s="1"/>
  <c r="E139" i="24"/>
  <c r="G139" i="24" s="1"/>
  <c r="E131" i="24"/>
  <c r="G131" i="24" s="1"/>
  <c r="E123" i="24"/>
  <c r="G123" i="24" s="1"/>
  <c r="E115" i="24"/>
  <c r="G115" i="24" s="1"/>
  <c r="E107" i="24"/>
  <c r="G107" i="24" s="1"/>
  <c r="E99" i="24"/>
  <c r="G99" i="24" s="1"/>
  <c r="E91" i="24"/>
  <c r="G91" i="24" s="1"/>
  <c r="E10" i="24"/>
  <c r="G10" i="24" s="1"/>
  <c r="E7" i="24"/>
  <c r="G7" i="24" s="1"/>
  <c r="E6" i="24"/>
  <c r="G6" i="24" s="1"/>
  <c r="E83" i="24"/>
  <c r="G83" i="24" s="1"/>
  <c r="E75" i="24"/>
  <c r="G75" i="24" s="1"/>
  <c r="E67" i="24"/>
  <c r="G67" i="24" s="1"/>
  <c r="E59" i="24"/>
  <c r="G59" i="24" s="1"/>
  <c r="E51" i="24"/>
  <c r="G51" i="24" s="1"/>
  <c r="E43" i="24"/>
  <c r="G43" i="24" s="1"/>
  <c r="E35" i="24"/>
  <c r="G35" i="24" s="1"/>
  <c r="E27" i="24"/>
  <c r="G27" i="24" s="1"/>
  <c r="E19" i="24"/>
  <c r="G19" i="24" s="1"/>
  <c r="E11" i="24"/>
  <c r="G11" i="24" s="1"/>
  <c r="E208" i="24"/>
  <c r="G208" i="24" s="1"/>
  <c r="E200" i="24"/>
  <c r="G200" i="24" s="1"/>
  <c r="E192" i="24"/>
  <c r="G192" i="24" s="1"/>
  <c r="E184" i="24"/>
  <c r="G184" i="24" s="1"/>
  <c r="E176" i="24"/>
  <c r="G176" i="24" s="1"/>
  <c r="E168" i="24"/>
  <c r="G168" i="24" s="1"/>
  <c r="E160" i="24"/>
  <c r="G160" i="24" s="1"/>
  <c r="E152" i="24"/>
  <c r="G152" i="24" s="1"/>
  <c r="E144" i="24"/>
  <c r="G144" i="24" s="1"/>
  <c r="E136" i="24"/>
  <c r="G136" i="24" s="1"/>
  <c r="E128" i="24"/>
  <c r="G128" i="24" s="1"/>
  <c r="E120" i="24"/>
  <c r="G120" i="24" s="1"/>
  <c r="E112" i="24"/>
  <c r="G112" i="24" s="1"/>
  <c r="E104" i="24"/>
  <c r="G104" i="24" s="1"/>
  <c r="E96" i="24"/>
  <c r="G96" i="24" s="1"/>
  <c r="E88" i="24"/>
  <c r="G88" i="24" s="1"/>
  <c r="E80" i="24"/>
  <c r="G80" i="24" s="1"/>
  <c r="E72" i="24"/>
  <c r="G72" i="24" s="1"/>
  <c r="E64" i="24"/>
  <c r="G64" i="24" s="1"/>
  <c r="E56" i="24"/>
  <c r="G56" i="24" s="1"/>
  <c r="E48" i="24"/>
  <c r="G48" i="24" s="1"/>
  <c r="E40" i="24"/>
  <c r="G40" i="24" s="1"/>
  <c r="E32" i="24"/>
  <c r="G32" i="24" s="1"/>
  <c r="E24" i="24"/>
  <c r="G24" i="24" s="1"/>
  <c r="E16" i="24"/>
  <c r="G16" i="24" s="1"/>
  <c r="E8" i="24"/>
  <c r="G8" i="24" s="1"/>
  <c r="E213" i="24"/>
  <c r="G213" i="24" s="1"/>
  <c r="E205" i="24"/>
  <c r="G205" i="24" s="1"/>
  <c r="E197" i="24"/>
  <c r="G197" i="24" s="1"/>
  <c r="E189" i="24"/>
  <c r="G189" i="24" s="1"/>
  <c r="E181" i="24"/>
  <c r="G181" i="24" s="1"/>
  <c r="E173" i="24"/>
  <c r="G173" i="24" s="1"/>
  <c r="E165" i="24"/>
  <c r="G165" i="24" s="1"/>
  <c r="E157" i="24"/>
  <c r="G157" i="24" s="1"/>
  <c r="E149" i="24"/>
  <c r="G149" i="24" s="1"/>
  <c r="E141" i="24"/>
  <c r="G141" i="24" s="1"/>
  <c r="E133" i="24"/>
  <c r="G133" i="24" s="1"/>
  <c r="E125" i="24"/>
  <c r="G125" i="24" s="1"/>
  <c r="E117" i="24"/>
  <c r="G117" i="24" s="1"/>
  <c r="E109" i="24"/>
  <c r="G109" i="24" s="1"/>
  <c r="E101" i="24"/>
  <c r="G101" i="24" s="1"/>
  <c r="E93" i="24"/>
  <c r="G93" i="24" s="1"/>
  <c r="E85" i="24"/>
  <c r="G85" i="24" s="1"/>
  <c r="E77" i="24"/>
  <c r="G77" i="24" s="1"/>
  <c r="E69" i="24"/>
  <c r="G69" i="24" s="1"/>
  <c r="E61" i="24"/>
  <c r="G61" i="24" s="1"/>
  <c r="E53" i="24"/>
  <c r="G53" i="24" s="1"/>
  <c r="E45" i="24"/>
  <c r="G45" i="24" s="1"/>
  <c r="E37" i="24"/>
  <c r="G37" i="24" s="1"/>
  <c r="E29" i="24"/>
  <c r="G29" i="24" s="1"/>
  <c r="E21" i="24"/>
  <c r="G21" i="24" s="1"/>
  <c r="E13" i="24"/>
  <c r="G13" i="24" s="1"/>
  <c r="E5" i="24"/>
  <c r="G5" i="24" s="1"/>
  <c r="E209" i="24"/>
  <c r="G209" i="24" s="1"/>
  <c r="E201" i="24"/>
  <c r="G201" i="24" s="1"/>
  <c r="E193" i="24"/>
  <c r="G193" i="24" s="1"/>
  <c r="E185" i="24"/>
  <c r="G185" i="24" s="1"/>
  <c r="E177" i="24"/>
  <c r="G177" i="24" s="1"/>
  <c r="E169" i="24"/>
  <c r="G169" i="24" s="1"/>
  <c r="E161" i="24"/>
  <c r="G161" i="24" s="1"/>
  <c r="E153" i="24"/>
  <c r="G153" i="24" s="1"/>
  <c r="E145" i="24"/>
  <c r="G145" i="24" s="1"/>
  <c r="E137" i="24"/>
  <c r="G137" i="24" s="1"/>
  <c r="E129" i="24"/>
  <c r="G129" i="24" s="1"/>
  <c r="E121" i="24"/>
  <c r="G121" i="24" s="1"/>
  <c r="E113" i="24"/>
  <c r="G113" i="24" s="1"/>
  <c r="E105" i="24"/>
  <c r="G105" i="24" s="1"/>
  <c r="E97" i="24"/>
  <c r="G97" i="24" s="1"/>
  <c r="E89" i="24"/>
  <c r="G89" i="24" s="1"/>
  <c r="E81" i="24"/>
  <c r="G81" i="24" s="1"/>
  <c r="E73" i="24"/>
  <c r="G73" i="24" s="1"/>
  <c r="E65" i="24"/>
  <c r="G65" i="24" s="1"/>
  <c r="E57" i="24"/>
  <c r="G57" i="24" s="1"/>
  <c r="E49" i="24"/>
  <c r="G49" i="24" s="1"/>
  <c r="E41" i="24"/>
  <c r="G41" i="24" s="1"/>
  <c r="E33" i="24"/>
  <c r="G33" i="24" s="1"/>
  <c r="E25" i="24"/>
  <c r="G25" i="24" s="1"/>
  <c r="E17" i="24"/>
  <c r="G17" i="24" s="1"/>
  <c r="E9" i="24"/>
  <c r="G9" i="24" s="1"/>
  <c r="E4" i="24"/>
  <c r="A5" i="1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100" i="11" s="1"/>
  <c r="A101" i="11" s="1"/>
  <c r="A102" i="11" s="1"/>
  <c r="A103" i="11" s="1"/>
  <c r="A104" i="11" s="1"/>
  <c r="A105" i="11" s="1"/>
  <c r="A106" i="11" s="1"/>
  <c r="A107" i="11" s="1"/>
  <c r="A108" i="11" s="1"/>
  <c r="A109" i="11" s="1"/>
  <c r="A110" i="11" s="1"/>
  <c r="A111" i="11" s="1"/>
  <c r="A112" i="11" s="1"/>
  <c r="A113" i="11" s="1"/>
  <c r="A114" i="11" s="1"/>
  <c r="A115" i="11" s="1"/>
  <c r="A116" i="11" s="1"/>
  <c r="A117" i="11" s="1"/>
  <c r="A118" i="11" s="1"/>
  <c r="A119" i="11" s="1"/>
  <c r="A120" i="11" s="1"/>
  <c r="A121" i="11" s="1"/>
  <c r="A122" i="11" s="1"/>
  <c r="A123" i="11" s="1"/>
  <c r="A124" i="11" s="1"/>
  <c r="A125" i="11" s="1"/>
  <c r="A126" i="11" s="1"/>
  <c r="A127" i="11" s="1"/>
  <c r="A128" i="11" s="1"/>
  <c r="A129" i="11" s="1"/>
  <c r="A130" i="11" s="1"/>
  <c r="A131" i="11" s="1"/>
  <c r="A132" i="11" s="1"/>
  <c r="A133" i="11" s="1"/>
  <c r="A134" i="11" s="1"/>
  <c r="A135" i="11" s="1"/>
  <c r="A136" i="11" s="1"/>
  <c r="A137" i="11" s="1"/>
  <c r="A138" i="11" s="1"/>
  <c r="A139" i="11" s="1"/>
  <c r="A140" i="11" s="1"/>
  <c r="A141" i="11" s="1"/>
  <c r="A142" i="11" s="1"/>
  <c r="A143" i="11" s="1"/>
  <c r="A144" i="11" s="1"/>
  <c r="A145" i="11" s="1"/>
  <c r="A146" i="11" s="1"/>
  <c r="A147" i="11" s="1"/>
  <c r="A148" i="11" s="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74" i="11" s="1"/>
  <c r="A175" i="11" s="1"/>
  <c r="A176" i="11" s="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99" i="11" s="1"/>
  <c r="A200" i="11" s="1"/>
  <c r="A201" i="11" s="1"/>
  <c r="A202" i="11" s="1"/>
  <c r="A203" i="11" s="1"/>
  <c r="A204" i="11" s="1"/>
  <c r="A205" i="11" s="1"/>
  <c r="A206" i="11" s="1"/>
  <c r="A207" i="11" s="1"/>
  <c r="A208" i="11" s="1"/>
  <c r="A209" i="11" s="1"/>
  <c r="A210" i="11" s="1"/>
  <c r="A211" i="11" s="1"/>
  <c r="A212" i="11" s="1"/>
  <c r="A213" i="11" s="1"/>
  <c r="A214" i="11" s="1"/>
  <c r="A215" i="11" s="1"/>
  <c r="K9" i="24" l="1"/>
  <c r="J10" i="24"/>
  <c r="K10" i="24"/>
  <c r="K8" i="24"/>
  <c r="J9" i="24"/>
  <c r="K4" i="24"/>
  <c r="J7" i="24"/>
  <c r="J5" i="24"/>
  <c r="G4" i="24"/>
  <c r="J4" i="24" s="1"/>
  <c r="J8" i="24"/>
  <c r="K5" i="24"/>
  <c r="J6" i="24"/>
  <c r="K6" i="24"/>
  <c r="K7" i="24"/>
  <c r="L7" i="24" l="1"/>
  <c r="O7" i="24" s="1"/>
  <c r="L9" i="24"/>
  <c r="O9" i="24" s="1"/>
  <c r="L10" i="24"/>
  <c r="O10" i="24" s="1"/>
  <c r="L4" i="24"/>
  <c r="O4" i="24" s="1"/>
  <c r="L5" i="24"/>
  <c r="O5" i="24" s="1"/>
  <c r="L8" i="24"/>
  <c r="O8" i="24" s="1"/>
  <c r="L6" i="24"/>
  <c r="O6" i="24" s="1"/>
  <c r="N15"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XU Caroline</author>
  </authors>
  <commentList>
    <comment ref="D5" authorId="0" shapeId="0" xr:uid="{9F416780-3B8B-496C-87BE-179FF5CCC066}">
      <text>
        <r>
          <rPr>
            <b/>
            <sz val="9"/>
            <color indexed="81"/>
            <rFont val="Tahoma"/>
            <family val="2"/>
          </rPr>
          <t>XU Caroline:</t>
        </r>
        <r>
          <rPr>
            <sz val="9"/>
            <color indexed="81"/>
            <rFont val="Tahoma"/>
            <family val="2"/>
          </rPr>
          <t xml:space="preserve">
C'est quoi un système individuel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XU Caroline</author>
  </authors>
  <commentList>
    <comment ref="D14" authorId="0" shapeId="0" xr:uid="{3D82279B-EEDC-4FF8-92F4-E246CD21408B}">
      <text>
        <r>
          <rPr>
            <b/>
            <sz val="9"/>
            <color indexed="81"/>
            <rFont val="Tahoma"/>
            <family val="2"/>
          </rPr>
          <t>XU Caroline:</t>
        </r>
        <r>
          <rPr>
            <sz val="9"/>
            <color indexed="81"/>
            <rFont val="Tahoma"/>
            <family val="2"/>
          </rPr>
          <t xml:space="preserve">
Expliquez ce qu'est le nudge</t>
        </r>
      </text>
    </comment>
    <comment ref="G16" authorId="0" shapeId="0" xr:uid="{45386206-E015-4AEF-877B-3776EC76E63B}">
      <text>
        <r>
          <rPr>
            <b/>
            <sz val="9"/>
            <color indexed="81"/>
            <rFont val="Tahoma"/>
            <family val="2"/>
          </rPr>
          <t>XU Caroline:</t>
        </r>
        <r>
          <rPr>
            <sz val="9"/>
            <color indexed="81"/>
            <rFont val="Tahoma"/>
            <family val="2"/>
          </rPr>
          <t xml:space="preserve">
je ne connais pas les modes de paramétrages par défaut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<sst xmlns="http://schemas.openxmlformats.org/spreadsheetml/2006/main" count="2877" uniqueCount="887">
  <si>
    <t>Nombre d'unités centrales</t>
  </si>
  <si>
    <t>Nombre imprimantes personnelles</t>
  </si>
  <si>
    <t>Poids DEEE par an</t>
  </si>
  <si>
    <t>en unité</t>
  </si>
  <si>
    <t>en tonne</t>
  </si>
  <si>
    <t>oui/non</t>
  </si>
  <si>
    <t>en To</t>
  </si>
  <si>
    <t>Disposez-vous d'une salle dédiée pour votre infrastructure informatique ?</t>
  </si>
  <si>
    <t>Votre salle informatique est</t>
  </si>
  <si>
    <t>en m2</t>
  </si>
  <si>
    <t>oui/non/ne sais pas</t>
  </si>
  <si>
    <t>réponse ouverte</t>
  </si>
  <si>
    <t>Le RGAA est-il mis en œuvre ?</t>
  </si>
  <si>
    <t>Eco-gestes</t>
  </si>
  <si>
    <t>Formation</t>
  </si>
  <si>
    <t>Achetez-vous de l’énergie renouvelable pour alimenter le système d’information ?</t>
  </si>
  <si>
    <t>Avez-vous mis en place une stratégie de location de matériels plutôt que d'achat ?</t>
  </si>
  <si>
    <t>Si oui, quels labels avez-vous identifié et pourquoi ?</t>
  </si>
  <si>
    <t>Faites-vous une revue de conception systématique avant le développement ?</t>
  </si>
  <si>
    <t>Faites-vous une revue de code systématique pendant le développement ?</t>
  </si>
  <si>
    <t>Quelle méthode de développement de logiciel utilisez-vous ? (Cycle en V, Scrum, Safe…)</t>
  </si>
  <si>
    <t>Vos projets utilisent-ils des objets connectés (iOT) ?</t>
  </si>
  <si>
    <t>Si oui, quels sont les équipements concernés et les opérateurs retenus ?</t>
  </si>
  <si>
    <t>Recyclage</t>
  </si>
  <si>
    <t>Quelles garanties demandez-vous à ces professionnels ?</t>
  </si>
  <si>
    <t>Mettez-vous en place une stratégie pour entretenir les ordinateurs pour éviter qu'ils ralentissent et deviennent instables ?</t>
  </si>
  <si>
    <t>Réemploi, économie circulaire</t>
  </si>
  <si>
    <t>Durée de vie</t>
  </si>
  <si>
    <t>Equipements</t>
  </si>
  <si>
    <t>Une stratégie de gestion des données (durée de conservation et volume stocké) est-elle mise en place ?</t>
  </si>
  <si>
    <t>Si oui, comment ?</t>
  </si>
  <si>
    <t>Avez-vous mis en place la possibilité d'une utilisation avec de faibles débits (2G/3G) de vos services numériques ?</t>
  </si>
  <si>
    <t>Avez-vous mis en place la possibilité d'une utilisation hors ligne de vos services numériques ?</t>
  </si>
  <si>
    <t>Si oui, quels sont les fournisseurs retenus ?</t>
  </si>
  <si>
    <t>Empreinte environnementale du SI</t>
  </si>
  <si>
    <t>Souhaitez-vous avoir un outil de suivi et de pilotage de la performance environnementale du SI ?</t>
  </si>
  <si>
    <t xml:space="preserve">Faible / Moyen / élevé </t>
  </si>
  <si>
    <t>oui/non/non concernée</t>
  </si>
  <si>
    <t>Impression</t>
  </si>
  <si>
    <t>Utilisateurs</t>
  </si>
  <si>
    <t>Si oui, pour quels publics et pour quels usages ?</t>
  </si>
  <si>
    <t>* Oui, une salle équipée d'équipements IT (serveurs, réseaux), onduleurs et climatiseurs
* Oui, un placard sans aucun système spécifique
* Non</t>
  </si>
  <si>
    <t>Mesure d'impact environnemental</t>
  </si>
  <si>
    <t>Location</t>
  </si>
  <si>
    <t>Energie</t>
  </si>
  <si>
    <t>Dissociez-vous le renouvellement des unités centrales des autres équipements (écran, clavier, souris) ?</t>
  </si>
  <si>
    <t>Labels</t>
  </si>
  <si>
    <t>Quels labels de papier recyclé utilisez-vous ?</t>
  </si>
  <si>
    <t>Projets et logiciels</t>
  </si>
  <si>
    <t>Quel est le niveau d’urgence de votre besoin en outils ou méthodologies de mesure ?</t>
  </si>
  <si>
    <t>Si oui, avez-vous des exemples de points d'attention lors de la conception de charte graphique responsable ?</t>
  </si>
  <si>
    <t>Testez-vous vos applications web sur des anciens navigateurs ?</t>
  </si>
  <si>
    <t>Testez-vous vos applications sur des anciens équipements ?</t>
  </si>
  <si>
    <t>Quels sont les équipements et versions minimum cibles ? (exemple : Iphone 5, Samsung Galaxy S4…)</t>
  </si>
  <si>
    <t>Quels sont les navigateurs et versions minimum cibles ? (exemple : IE10, Firefox v57...)</t>
  </si>
  <si>
    <t>Capacité réseau et matériel</t>
  </si>
  <si>
    <t>Méthodes de conception</t>
  </si>
  <si>
    <t>Conception</t>
  </si>
  <si>
    <t>Si oui, avez-vous des exemples ?</t>
  </si>
  <si>
    <t>Tous les métiers sont-ils impliqués lors de la réflexion et la conception d'une fonctionnalité (métier, UX/UI, développeur, ops…) ?</t>
  </si>
  <si>
    <t>Quelle est la part de télétravailleurs ?</t>
  </si>
  <si>
    <t>Quelles sont vos priorités ? (choix multiples)</t>
  </si>
  <si>
    <t>Informez-vous vos utilisateurs sur les impacts environnementaux de l'usage de vos services numériques ?</t>
  </si>
  <si>
    <t>Une démarche d’achats responsables des équipements numériques est-elle mise en place ?</t>
  </si>
  <si>
    <t>Si oui, avez-vous des exemples de bonnes pratiques mises en place ou un projet exemplaire lié à la mise en œuvre du RGAA ?</t>
  </si>
  <si>
    <t>Quelles sont les bonnes pratiques écoresponsables mises en place dans votre datacentre ?</t>
  </si>
  <si>
    <t>Datacentre</t>
  </si>
  <si>
    <t>Mettez-vous en place la collecte séparée des déchets de cartouches / toners ?</t>
  </si>
  <si>
    <t>Si oui, quels choix avez-vous retenu ?</t>
  </si>
  <si>
    <t>Désinstallez-vous régulièrement les logiciels inutilisés ?</t>
  </si>
  <si>
    <t>Intégrez-vous des clauses environnementales dans vos marchés d'achat d’équipements ?</t>
  </si>
  <si>
    <t>Quelle part de vos copieurs est issue d'une filière de reconditionnement ?</t>
  </si>
  <si>
    <t>Quelle part de papier recyclé utilisez-vous ?</t>
  </si>
  <si>
    <t>La conformité au RGPD est-elle systématiquement mise en place ?</t>
  </si>
  <si>
    <t>Quelles sont les adaptations mises en place dans le service numérique et selon les possibilités du terminal  ? (exemple : responsive image)</t>
  </si>
  <si>
    <t>Consolidez-vous les serveurs physiques sous-utilisés pour les regrouper (rationalisation) ?</t>
  </si>
  <si>
    <t>Intégrez-vous le principe de l'économie de la fonctionnalité par exemple en proposant un service incluant la mise à disposition d'équipements à durée de vie longue, plutôt que la vente ?</t>
  </si>
  <si>
    <t>Si oui, quels sont les objets connectés utilisés et leur nombre ?</t>
  </si>
  <si>
    <t>Les équipements physiques du datacentre sont-ils mutualisés ?</t>
  </si>
  <si>
    <t>L'empreinte environnementale de votre SI, ou de votre projet, a-t-elle été évaluée au moins une fois ?</t>
  </si>
  <si>
    <t>Quelle est la superficie totale de vos salles informatiques</t>
  </si>
  <si>
    <t>Quel est  le niveau de performance énergétique de votre datacenter (PUE) ?</t>
  </si>
  <si>
    <t>Quel est le nombre de serveurs physiques dans l'organisation ?</t>
  </si>
  <si>
    <t>Quelle est l'évolution cette année en %, du nombre de serveurs physiques ?</t>
  </si>
  <si>
    <t>Quel est le nombre de serveurs virtuels dans l'organisation ?</t>
  </si>
  <si>
    <t>Quelle est l'évolution cette année en %, du nombre de serveurs virtuels ?</t>
  </si>
  <si>
    <t>L'énergie thermique produite par les datacentres que vous utilisez est-elle réutilisée ?</t>
  </si>
  <si>
    <t>Une réduction volontaire du poids des pages web est-elle mise en place ?</t>
  </si>
  <si>
    <t>Une réduction volontaire du nombre de médias (images, vidéos) est-elle mise en place ?</t>
  </si>
  <si>
    <t>Une réduction volontaire du volume de données collectées est-elle mise en place ?</t>
  </si>
  <si>
    <t>Une réduction volontaire du volume de données transmises est-elle mise en place ?</t>
  </si>
  <si>
    <t>Faites-vous reprendre vos DEEE par un éco-organisme ?</t>
  </si>
  <si>
    <t>Faites-vous reprendre vos DEEE par un système individuel ?</t>
  </si>
  <si>
    <t>Avez-vous prévu dans le choix de vos fournisseurs d’équipements électriques et électroniques (ordinateurs, imprimantes, cartouches, serveurs, smartphoines,…) des dispositions spécifiques à la gestion de la fin de vie ?</t>
  </si>
  <si>
    <t>Avez-vous des bacs de collecte pour les deee de vos employés ?</t>
  </si>
  <si>
    <t>Si oui, ces supports sont accessibles et comment ?</t>
  </si>
  <si>
    <t>Si oui, décrivez les éléments essentiels et l'année de mise en oeuvre ?</t>
  </si>
  <si>
    <t>Est-ce que la politique de télétravail mise en place dans l'organisation a prévu une campagne de mesure des impacts environnementaux ?</t>
  </si>
  <si>
    <t>Se faire accompagner / Se former / Outiller / Mesurer / Suivre</t>
  </si>
  <si>
    <t>Si autres priorités, précisez :</t>
  </si>
  <si>
    <t>Selon vous qui sont les acteurs en interne ou externe à votre structure, qui peuvent réduire les impacts écologiques du numérique ?</t>
  </si>
  <si>
    <t>Avez-vous directement ou indirectement des moyens d'agir sur ces acteurs ?</t>
  </si>
  <si>
    <t>Mettez-vous en place des campagnes de communication aux gestes clés d'une utilisation éco-responsable du numérique ?</t>
  </si>
  <si>
    <t>Quel est le mode de paramétrage par défaut de vos imprimantes ?</t>
  </si>
  <si>
    <t>Avez-vous instauré une politique d'extinction du parc numérique sur des heures hors activité ?</t>
  </si>
  <si>
    <t>Rationalisez-vous l’usage de la messagerie, par exemple, en limitant le stockage serveur ?</t>
  </si>
  <si>
    <t>Avez-vous mis en place un dispositif pour réduire le volume de données transportées via le mail notamment ?</t>
  </si>
  <si>
    <t>Avez-vous mis en place un système de partage de document ?</t>
  </si>
  <si>
    <t>Si oui, lequel ?</t>
  </si>
  <si>
    <t>Avez-vous mis en place des dispositifs pour réduire les volumes stockées dans le temps ?</t>
  </si>
  <si>
    <t>La mise à jour automatiques des applications est-elle activée par défaut sur vos smartphones fournis à vos collaborateurs ?</t>
  </si>
  <si>
    <t>La mise à jour automatiques de l'OS est-elle activée par défaut sur vos smartphones fournis à vos collaborateurs ?</t>
  </si>
  <si>
    <t>Avez-vous intégré des formations autour de la réduction des impacts environnemental du numérique dans votre plan de formation ?</t>
  </si>
  <si>
    <t>Formation courte (&lt;= 1 j) / Formation longue (2 jours et plus)</t>
  </si>
  <si>
    <t>Quel type de formation souhaitez-vous pour vos collaborateurs ?</t>
  </si>
  <si>
    <t>Si oui, précisez les critères environnementaux retenus et le cas échéant les questions posées sur le volet développement durable ?</t>
  </si>
  <si>
    <t>Si oui, précisez quelle est sa part dans la décision finale</t>
  </si>
  <si>
    <t>Intégrez-vous des clauses sociales dans vos marchés ?</t>
  </si>
  <si>
    <t>Si oui, précisez les critères sociaux retenus ?</t>
  </si>
  <si>
    <t>Avez-vous un plan d'action pour réduction du nombre d'équipements par personne et par an ?</t>
  </si>
  <si>
    <t>Si oui, quels équipements et quelles actions sont mis en place ?</t>
  </si>
  <si>
    <t>Avez-vous une stratégie d'urbanisation ou d'achat des équipements non IT (climatisation, traitement de l'air, onduleurs…) selon des critères environnementaux ?</t>
  </si>
  <si>
    <t>Choisissez-vous un prestataire d'hébergement ou opérateurs datacentres selon des critères de performance environnementale ?</t>
  </si>
  <si>
    <t>Si oui, quelles sont les critères retenus ?</t>
  </si>
  <si>
    <t>Si oui, quel opérateur et quelle offre sont retenus ?</t>
  </si>
  <si>
    <t>Si oui, laquelle ?</t>
  </si>
  <si>
    <t>Si oui, lesquels ?</t>
  </si>
  <si>
    <t>Mettez-vous en œuvre des bonnes pratiques de conception de services numériques ?</t>
  </si>
  <si>
    <t>Quelle est la part de solutions open-source dans vos projets ?</t>
  </si>
  <si>
    <t>Si vous en avez la responsabilité, concevez-vous une charte graphique responsable ?</t>
  </si>
  <si>
    <t>Quels outils utilisez-vous pour mesurer la performance environnementale d'un service numérique (application ou site web) ?</t>
  </si>
  <si>
    <t>Des solutions non-numérique plus efficientes ont t-elles été envisagées ?</t>
  </si>
  <si>
    <t>Avez-vous mis en place une urbanisation de votre datacentre permettant de réduire ses impacts environnementaux, notamment dans une perspective d'évolution de ce datacentre ?</t>
  </si>
  <si>
    <t>Taille moyenne des écrans</t>
  </si>
  <si>
    <t>Quel est le volume global de stockage de vos données en moyenne sur l'année dernière (disques durs externes, serveurs, NAS, SAN) ?</t>
  </si>
  <si>
    <t>Avez-vous des prestataires qui s'occupent du recueil et de contrôle du Bordereau de suivi des déchets dangereux (BSDD) ?</t>
  </si>
  <si>
    <t>Pouvez-vous décrire un exemple ?</t>
  </si>
  <si>
    <t>Faites-vous la mise à jour des équipements plutôt que de les remplacer ?</t>
  </si>
  <si>
    <t>Faites-vous la remise en état pour réemploi plutôt que le recyclage ?</t>
  </si>
  <si>
    <t>Faites-vous la remise en état du matériel fonctionnel via un prestataire ?</t>
  </si>
  <si>
    <t>Faites-vous un contrôle régulier des équipements numériques inutilisés afin de les décomissionner le cas échéant ?</t>
  </si>
  <si>
    <t>Mettez-vous en place une stratégie "AVEC" pour l'équipement informatique type ordinateur portable ?</t>
  </si>
  <si>
    <t>Mettez-vous en place une stratégie "AVEC" pour l'équipement téléphonique type smartphone ?</t>
  </si>
  <si>
    <t>Quelle est la part de l'achat d'équipements (ordinateurs, téléphonie) éco-labellisés par rapport au total ?</t>
  </si>
  <si>
    <t>Plus précisément, mettez-vous en place une démarche de réemploi des téléphones / smartphones ?</t>
  </si>
  <si>
    <t>Avez-vous des fournisseurs qui proposent des copieurs reconditionnés ?</t>
  </si>
  <si>
    <t>Si oui, pouvez-nous nous décrire les équipements concernés et les revendeurs retenus ?</t>
  </si>
  <si>
    <t>Quelle est la part de l'achat de matériel informatique d'occasion ou reconditionné par rapport à l'achat de neuf ?</t>
  </si>
  <si>
    <t>Quel est le nombre de jours télétravaillés par mois et par collaborateur en moyenne ?</t>
  </si>
  <si>
    <t>Si oui, quels référentiels ou bonnes pratiques utilisez-vous ?</t>
  </si>
  <si>
    <t>Nombre imprimantes en réseau</t>
  </si>
  <si>
    <t>Avez-vous une stratégie d'émulation écologique (nudge) sur votre parc numérique (smartphones, imprimantes, ordinateurs) ?</t>
  </si>
  <si>
    <t>Mobilisez-vous un chef de produit sur la conception de vos services numériques ?</t>
  </si>
  <si>
    <t>Mobilisez-vous un chercheur usager sur la conception de vos services numériques ?</t>
  </si>
  <si>
    <t>Mobilisez-vous un expert accessibilité sur la conception de vos services numériques ?</t>
  </si>
  <si>
    <t xml:space="preserve">Si oui, comment ? </t>
  </si>
  <si>
    <r>
      <t xml:space="preserve">Faites-vous un développement d'abord pour les terminaux mobiles, en adoptant une approche </t>
    </r>
    <r>
      <rPr>
        <i/>
        <sz val="11"/>
        <rFont val="Calibri"/>
        <family val="2"/>
        <scheme val="minor"/>
      </rPr>
      <t>responsive</t>
    </r>
    <r>
      <rPr>
        <sz val="11"/>
        <rFont val="Calibri"/>
        <family val="2"/>
        <scheme val="minor"/>
      </rPr>
      <t xml:space="preserve"> ?</t>
    </r>
  </si>
  <si>
    <t>Mobilisez-vous un ou plusieurs designers UX sur la conception de vos services numériques ?</t>
  </si>
  <si>
    <t>Les usagers finaux (citoyens, agents, etc) sont-ils impliqués dans le processus de conception de vos services numériques ?</t>
  </si>
  <si>
    <t>Avez-vous déjà intégré une dimension écologique à la gestion du numérique dans votre organisation ?</t>
  </si>
  <si>
    <t>en pouces</t>
  </si>
  <si>
    <t>Si vous évaluez l'empreinte environnemental de votre SI, avez-vous une stratégie de mesure basée sur une ACV (analyse du cycle de vie) ?</t>
  </si>
  <si>
    <t>Si oui, précisez le contenu de cette stratégie avec ACV ?</t>
  </si>
  <si>
    <t>%</t>
  </si>
  <si>
    <t>Pouvez-vous nous communiquer un exemple de CCTP intégrant des clauses environnementales et sociales ?</t>
  </si>
  <si>
    <t>Achat d'équipements</t>
  </si>
  <si>
    <t>Avez-vous besoin d'un chef de produit, expert accessibilité, designer UX ou chercheur usager ?</t>
  </si>
  <si>
    <t>Evaluez-vous les émissions directes de GES (ou SCOPE 1) ? Émissions directes provenant des installations fixes ou mobiles situées à l’intérieur du périmètre organisationnel.</t>
  </si>
  <si>
    <t>Evaluez-vous les émissions à énergie indirectes (ou SCOPE 2) ? Émissions indirectes associées à la production d’électricité, de chaleur ou de vapeur importée pour les activités de l’organisation.</t>
  </si>
  <si>
    <t>Evaluez-vous les autres émissions indirectes (ou SCOPE 3) ? Les autres émissions indirectement produites par les activités de l’organisation qui ne sont pas comptabilisées au 2 mais qui sont liées à la chaîne de valeur complète comme par exemple : l’achat de matières premières,  fabrication des équipements informatiques, de services ou autres produits, déplacements des salariés, transport amont et aval des marchandises, gestions des déchets générés par les activités de l’organisme, utilisation et fin de vie des produits et services vendus, immobilisation des biens et équipements de productions…</t>
  </si>
  <si>
    <t xml:space="preserve"> Il est attendu une réponse avec un nombre de serveurs</t>
  </si>
  <si>
    <t xml:space="preserve"> Il est attendu une réponse avec un pourcentage</t>
  </si>
  <si>
    <t xml:space="preserve"> Il est attendu une réponse avec un nombre</t>
  </si>
  <si>
    <t>Veuillez écrire votre texte</t>
  </si>
  <si>
    <t>Nombre d'écran TV</t>
  </si>
  <si>
    <t>Nombre écran plat</t>
  </si>
  <si>
    <t>Nombre de bornes WIFI</t>
  </si>
  <si>
    <t>Nombre de PC portables</t>
  </si>
  <si>
    <t>Nombre de tablettes</t>
  </si>
  <si>
    <t>Nombre de téléphone IP</t>
  </si>
  <si>
    <t>Nombre de smartphones</t>
  </si>
  <si>
    <t>Types de réponses</t>
  </si>
  <si>
    <t>Communiquez-vous auprès de vos fournisseurs sur l’importance de la prise en compte des clauses environnementales et sociales dans votre phase de sourcing ?</t>
  </si>
  <si>
    <t>Nombre de nouveaux outils / logiciels introduits dans votre organisation par an</t>
  </si>
  <si>
    <t>Quelle est la part des cartouches d'impression issue d'une filière de reconditionnement ?</t>
  </si>
  <si>
    <t>Votre organisation a t-elle mis en place le télétravail hors crise sanitaire ?</t>
  </si>
  <si>
    <t>Quelles difficultés avez-vous eu au sujet du télétravail ? (organisation du travail, matériel, sécurité, logiciels, réseau...)</t>
  </si>
  <si>
    <t>En cas d'application d'une stratégie "AVEC", quelle stratégie avez-vous mis en place pour la faire accepter par les agents ?</t>
  </si>
  <si>
    <t>Pouvez vous lister des exemples de clauses environnementales et sociales qui, d'après vous, ont le plus de poids environnemental ?</t>
  </si>
  <si>
    <t>Intégrez-vous des clauses environnementales et sociales dans vos appels d’offres de services et prestations intellectuelles ?</t>
  </si>
  <si>
    <t>Avez-vous recours aux plateformes de dons ?</t>
  </si>
  <si>
    <t>Réaffectez-vous les équipements informatiques ?</t>
  </si>
  <si>
    <t xml:space="preserve">Connaissez-vous la boîte à outils Numérique responsable de la DINUM ? </t>
  </si>
  <si>
    <t xml:space="preserve">Connaissez-vous la boîte à outils Numérique responsable de l'INR ? </t>
  </si>
  <si>
    <t>Combien de datacenter sont-ils présents sur votre territoire ?</t>
  </si>
  <si>
    <t>Publiez-vous votre BEGES ?</t>
  </si>
  <si>
    <t>Quel est le nombre de projets numérique démarrés en 2022 ?</t>
  </si>
  <si>
    <t xml:space="preserve">Connaissez-vous les acteurs de reconditionné sur votre territoire ? </t>
  </si>
  <si>
    <t>Acteur répondant</t>
  </si>
  <si>
    <t>Grille d'entretien</t>
  </si>
  <si>
    <t>Grille de notation</t>
  </si>
  <si>
    <t>Question</t>
  </si>
  <si>
    <t>Le responsable numérique responsable participe t-il à des comités de pilotage ?</t>
  </si>
  <si>
    <t>Des initiatives indépendantes/non coordonnées ont été lancées au sein de la DSI seulement</t>
  </si>
  <si>
    <t>Plusieurs initiatives existent et une démarche globale est en cours de définition/lancement</t>
  </si>
  <si>
    <t>Une démarche stratégique globale a été lancée et a atteint de premiers objectifs</t>
  </si>
  <si>
    <t>Question qualitative entretien</t>
  </si>
  <si>
    <t>N'est pas intégrée</t>
  </si>
  <si>
    <t>Une fonction DSI</t>
  </si>
  <si>
    <t xml:space="preserve">Une fonction "Transition écologique" attachée au DGS </t>
  </si>
  <si>
    <t>Une fonction transverse rattachée au DGS</t>
  </si>
  <si>
    <t>Non</t>
  </si>
  <si>
    <t>Oui</t>
  </si>
  <si>
    <t>Oui, en interne de son service</t>
  </si>
  <si>
    <t>Oui, en interne de sa direction</t>
  </si>
  <si>
    <t>Oui, en transverse sur l'ensemble de la collectivité</t>
  </si>
  <si>
    <t>Utilisation de l'enveloppe de la DSI/Service</t>
  </si>
  <si>
    <t>Enveloppe dédiée dans la direction concernée</t>
  </si>
  <si>
    <t xml:space="preserve">Enveloppe dédiée au niveau transverse </t>
  </si>
  <si>
    <t>Des objectifs spécifiques sont définis mais ils ne sont pas suivis</t>
  </si>
  <si>
    <t>Des objectifs spécifiques sont définis et suivis dans le cadre d'une démarche RSE centrale</t>
  </si>
  <si>
    <t>Des objectifs spécifiques sont définis et suivis au niveau du pôle numérique responsable</t>
  </si>
  <si>
    <t>Des consignes génériques sont définies au niveau NR et suivies par les entités</t>
  </si>
  <si>
    <t>Des objectifs et consignes spécifiques à chaque entités sont définies au niveau NR</t>
  </si>
  <si>
    <t>Des objectifs sont définis pour chaque entité au niveau NR, les entités définissent chacune leur stratégie NR</t>
  </si>
  <si>
    <t xml:space="preserve">Des objectifs de Numérique responsable sont-ils intégrés à vos rapport annuels ? </t>
  </si>
  <si>
    <t xml:space="preserve">Oui, partiellement (inclus dans les objectifs et la stratégie de l'organisation, mais pas détaillé dans la partie comptabilité) </t>
  </si>
  <si>
    <t xml:space="preserve">Oui, en grande partie (inclus dans les objectifs et la stratégie de de l'organisation et partiellement inclus dans la partie comptabilité) </t>
  </si>
  <si>
    <t xml:space="preserve">Oui ils sont totalement inclus dans les rapports annuels (ils font intégralement partie des bilans financiers consolidés, ils sont définis dans les objectifs de l'organisation et ils ont leur propre partie dans le rapport annuel de l'organisation) </t>
  </si>
  <si>
    <t>&lt;10%</t>
  </si>
  <si>
    <t>10%&lt;X&lt;40%</t>
  </si>
  <si>
    <t>40%&lt;X&lt;70%</t>
  </si>
  <si>
    <t>&gt;70%</t>
  </si>
  <si>
    <t>Qui est en charge de porter les sujets Numérique Responsable au sein de votre organisation ?</t>
  </si>
  <si>
    <t>Personne n'est en charge</t>
  </si>
  <si>
    <t>Une personne/une entité est en charge de l'ensemble des sujets Numérique Responsable à temps partiel</t>
  </si>
  <si>
    <t>Une ou plusieurs personn(e)s occupent un poste à temps plein dédié au Numérique Responsable</t>
  </si>
  <si>
    <t>Une personne porte ces sujets au sein d'une direction</t>
  </si>
  <si>
    <t>A quel niveau hiérarchique se situe le pôle Numérique Responsable ?</t>
  </si>
  <si>
    <t>Pas de pôle Numérique Responsable</t>
  </si>
  <si>
    <t>Le pôle Numérique Responsable n'est pas visible dans la hiérarchie</t>
  </si>
  <si>
    <t xml:space="preserve">Le pôle Numérique Responsable est rattaché au niveau d'une Unité Business / Organisationnelle </t>
  </si>
  <si>
    <t>Le pôle Numérique Responsable est rattaché au niveau du DGS/de la Direction générale</t>
  </si>
  <si>
    <t>Le pôle Numérique Responsable peut il s'appuyer sur des relais identifiés dans les entités ?</t>
  </si>
  <si>
    <t>Un groupe de contacts permet de partager quelques informations avec le pôle Numérique Responsable (veille, …)</t>
  </si>
  <si>
    <t>Des relais diffusent une veille et des bonnes pratiques Numérique Responsable au sein des entités</t>
  </si>
  <si>
    <t>Des représentants officiels (champions) du numérique responsable sont identifiés dans les différentes entités et ont une charge dédiée à cette thématique</t>
  </si>
  <si>
    <t>Votre stratégie Numérique Responsable a-t-elle permis la mise en place de partenariats, la signature d'accords ou l'attribution de certifications / prix ?</t>
  </si>
  <si>
    <t>Avez-vous mis en place une veille structurée sur les sujets Numérique Responsable (partenaires, bonnes pratiques, règlementation…) ?</t>
  </si>
  <si>
    <t>Stratégie NR</t>
  </si>
  <si>
    <t>Une veille est réalisée ponctuellement selon les besoins</t>
  </si>
  <si>
    <t>Une veille est réalisée en continu et est régulièrement transformée en actions concrètes</t>
  </si>
  <si>
    <t>Thématique</t>
  </si>
  <si>
    <t>Org. Interne</t>
  </si>
  <si>
    <t>Non mais certaines opportunités ont été identifiées pour la mise en place de partenariats / accords</t>
  </si>
  <si>
    <t>La collectivité a mis en place des partenariats ou s'est déjà engagée via des accords sur sa stratégie NR</t>
  </si>
  <si>
    <t>La collectivité a été distinguée par des certifications / prix sur son investissement NR</t>
  </si>
  <si>
    <t>Information</t>
  </si>
  <si>
    <t>Des agents sont en charge de réaliser cette veille régulièrement</t>
  </si>
  <si>
    <t>Faites-vous appel à des prestataires spécialisés dans le Numérique Responsable ?</t>
  </si>
  <si>
    <t>Des prestataires potentiels ont déjà été identifiés</t>
  </si>
  <si>
    <t>Des discussions ont été engagées avec des prestataires potentiels</t>
  </si>
  <si>
    <t>Des prestataires ont déjà été sollicités pour accompagner la collectivité</t>
  </si>
  <si>
    <t>De quelles sources proviennent les bonnes pratiques liées au Numérique Responsable mises en place par la collectivité (réglementation, organismes d'autorité, propres initiatives…)?</t>
  </si>
  <si>
    <t>Sources</t>
  </si>
  <si>
    <t>AVEC/BYOD</t>
  </si>
  <si>
    <t>La collectivité applique principalement la réglementation</t>
  </si>
  <si>
    <t>La collectivité s'appuie sur les préconisations d'organismes reconnus comme l'Ademe, le club Green IT…</t>
  </si>
  <si>
    <t>La collectivité participe à des démarches exploratoires sur certains leviers</t>
  </si>
  <si>
    <t>La collectivité expérimente des leviers et fait figure de précurseur</t>
  </si>
  <si>
    <t xml:space="preserve">Pourriez-vous fournir des exemples de mesures/projets/initiatives mis en place concernant le Numérique responsable ? </t>
  </si>
  <si>
    <t>Quel est le nombre d'agents de la collectivité concernés par vos services numériques ?</t>
  </si>
  <si>
    <t xml:space="preserve">Quelle serait la principale raison qui vous motiverait à inclure des principes Numérique responsable au sein de la collectivité ? </t>
  </si>
  <si>
    <t>Aucune raison particulière</t>
  </si>
  <si>
    <t xml:space="preserve">Des raisons juridiques (l'obligation juridique de se conformer aux régulations environnementales) </t>
  </si>
  <si>
    <t xml:space="preserve">La motivation de construire une image plus positive de la collectivité </t>
  </si>
  <si>
    <t xml:space="preserve">Le souhait de devenir un acteur actif et leader de changement societal </t>
  </si>
  <si>
    <t>DSI</t>
  </si>
  <si>
    <t>&lt;1 an</t>
  </si>
  <si>
    <t>1 et 2 ans</t>
  </si>
  <si>
    <t>2 et 3 ans</t>
  </si>
  <si>
    <t>3 et 5 ans</t>
  </si>
  <si>
    <t>5 et 7 ans</t>
  </si>
  <si>
    <t>&gt;7 ans</t>
  </si>
  <si>
    <t>Non concerné</t>
  </si>
  <si>
    <t>Ne sais pas</t>
  </si>
  <si>
    <t>Une fois</t>
  </si>
  <si>
    <t>Ponctuellement mais régulièrement</t>
  </si>
  <si>
    <t>Suivi régulier</t>
  </si>
  <si>
    <t>En unités</t>
  </si>
  <si>
    <t>Quels référentiels ou base de données environnementaux utilisez-vous pour faire cette évaluation ?</t>
  </si>
  <si>
    <t>Non, connaît pas</t>
  </si>
  <si>
    <t>Non, mais connu</t>
  </si>
  <si>
    <t>Oui, mais pas utilisé</t>
  </si>
  <si>
    <t>Oui, utilisé</t>
  </si>
  <si>
    <t>Etes-vous familiez avec l'Analyse du Cycle de Vie (ACV) ?</t>
  </si>
  <si>
    <t xml:space="preserve">Avez-vous réalisé un bilan carbone ? </t>
  </si>
  <si>
    <t>Non, mais souhait de le faire</t>
  </si>
  <si>
    <t>Oui, mais incomplet et non suivi d'actions</t>
  </si>
  <si>
    <t>Oui, régulièrement et inséré dans une stratégie de la CT</t>
  </si>
  <si>
    <t>Quelle est la durée de vie moyenne de vos ordinateurs portables ?</t>
  </si>
  <si>
    <t>Quelle est la durée de vie moyenne de vos unités centrales</t>
  </si>
  <si>
    <t>Quelle est la durée de vie moyenne de vos tablettes</t>
  </si>
  <si>
    <t>Quelle est la durée de vie moyenne de vos imprimantes personnelles</t>
  </si>
  <si>
    <t>Quelle est la durée de vie moyenne de vos serveurs physiques</t>
  </si>
  <si>
    <t>Quelle est la durée de vie moyenne de vos imprimantes en réseau</t>
  </si>
  <si>
    <t>Quelle est la durée de vie moyenne de vos téléphones IP</t>
  </si>
  <si>
    <t>Quelle est la durée de vie moyenne de vos enceintes</t>
  </si>
  <si>
    <t>Interne</t>
  </si>
  <si>
    <t>&gt;2,5</t>
  </si>
  <si>
    <t>Entre 1,8 et 2,5</t>
  </si>
  <si>
    <t>Entre 1,4 et 1,8</t>
  </si>
  <si>
    <t>&lt;1,4</t>
  </si>
  <si>
    <t xml:space="preserve">Pilotez-vous l'usage et la consommation de vos serveurs ? </t>
  </si>
  <si>
    <t>La consommation électrique est pilotée</t>
  </si>
  <si>
    <t>Plusieurs indicateurs sont en place (consommation électrique, taux d'utilisation…)</t>
  </si>
  <si>
    <t>Plusieurs indicateurs sont en place (consommation électrique, taux d'utilisation…) et ont donné lieux a des actions correctives</t>
  </si>
  <si>
    <t>Cartographie des acteurs du reconditionné sur le territoire</t>
  </si>
  <si>
    <t>Partiellement</t>
  </si>
  <si>
    <t>Non, mais c'est en projet</t>
  </si>
  <si>
    <t>Oui, mais que pour certains services</t>
  </si>
  <si>
    <t xml:space="preserve">Oui, la pratique est généralisée </t>
  </si>
  <si>
    <t xml:space="preserve">DSI/Achat ? </t>
  </si>
  <si>
    <t>Comment gérez-vous la fin de vie de vos équipements ?</t>
  </si>
  <si>
    <t>Les équipements en fin de vie sont jetés et remplacés quand ils ne sont plus assez performants</t>
  </si>
  <si>
    <t>Les équipements en fin de vie réparés dans la mesure du possible</t>
  </si>
  <si>
    <t>Les équipements en fin de vie sont récupérés par des prestataires écoresponsables</t>
  </si>
  <si>
    <t>Les équipements en fin de vie sont vendus/donnés pour être remis en circulation</t>
  </si>
  <si>
    <t>Non, mais c'est un projet</t>
  </si>
  <si>
    <t>Ne sait pas</t>
  </si>
  <si>
    <t>Filière de destruction</t>
  </si>
  <si>
    <t>Filière de recyclage</t>
  </si>
  <si>
    <t xml:space="preserve">Filière de reconditionnement et de recyclage en fonction </t>
  </si>
  <si>
    <t>Oui, prestataire externe</t>
  </si>
  <si>
    <t>Oui, internalisé</t>
  </si>
  <si>
    <t>Ponctuellement</t>
  </si>
  <si>
    <t>1 ou 2 principaux</t>
  </si>
  <si>
    <t>Les principaux</t>
  </si>
  <si>
    <t>Tous</t>
  </si>
  <si>
    <t>Actions partielles</t>
  </si>
  <si>
    <t>Quelques fois</t>
  </si>
  <si>
    <t>Sur la majorité de nos services numériques</t>
  </si>
  <si>
    <t>Sur tous les services</t>
  </si>
  <si>
    <t xml:space="preserve">Avez-vous mis en œuvre une stratégie de Smart City ? </t>
  </si>
  <si>
    <t>Stratégie générale</t>
  </si>
  <si>
    <t>Non, c'est un projet</t>
  </si>
  <si>
    <t>Oui, mais sur des actions isolées</t>
  </si>
  <si>
    <t>Oui, avec une stratégie globale</t>
  </si>
  <si>
    <t>Territoire</t>
  </si>
  <si>
    <t>Publiez-vous un SPASER ?</t>
  </si>
  <si>
    <t>Type de question</t>
  </si>
  <si>
    <t>Oui, et nous l'utilisons</t>
  </si>
  <si>
    <t>Oui, mais sans l'utiliser</t>
  </si>
  <si>
    <t>Non, mais entendu parlé</t>
  </si>
  <si>
    <t>Information agents</t>
  </si>
  <si>
    <t>Ils ne sont pas au courant</t>
  </si>
  <si>
    <t>Ils en sont informés mais ne sauraient pas en parler</t>
  </si>
  <si>
    <t>Une majorité des agents saurait présenter quelques initiatives / engagements</t>
  </si>
  <si>
    <t>Les agents sauraient chacun présenter quelques initiatives / engagements de manière détaillée</t>
  </si>
  <si>
    <t>Selon vous qui sont les acteurs en interne à votre structure, qui peuvent réduire les impacts écologiques du numérique ?</t>
  </si>
  <si>
    <t>Selon vous qui sont les acteurs sur votre territoire qui peuvent réduire les impacts écologiques du numérique ?</t>
  </si>
  <si>
    <t>Territoire/Eco-gestes</t>
  </si>
  <si>
    <t>Territoire/Information aux externes</t>
  </si>
  <si>
    <t>Non, mais en projet</t>
  </si>
  <si>
    <t>Oui, mais ponctuel dans un service/une direction</t>
  </si>
  <si>
    <t>Oui, c'est un sujet pris en compte dans la communication générale de la collectivité</t>
  </si>
  <si>
    <t>Pouvez-vous nous transmettre ces supports ?</t>
  </si>
  <si>
    <t>Question entretien</t>
  </si>
  <si>
    <t>DSI/DIRCOM/DGS</t>
  </si>
  <si>
    <t>Ils ne sont pas accessibles</t>
  </si>
  <si>
    <t>Ils sont accessibles dans les archives de la com</t>
  </si>
  <si>
    <t>Ils sont accessibles sur le commun des agents</t>
  </si>
  <si>
    <t>Ils sont accessibles dans une rubrique dédiée sur le commun et sur le site de la collectivité</t>
  </si>
  <si>
    <t>Noir et blanc</t>
  </si>
  <si>
    <t>Je ne sais pas</t>
  </si>
  <si>
    <t>Non, mais en cours de discussion</t>
  </si>
  <si>
    <t>Non, pas souhaité</t>
  </si>
  <si>
    <t xml:space="preserve">Non, même si sensibilisé </t>
  </si>
  <si>
    <t>Non, même si ponctuellement nous utilisons des outils comme Wetransfer pour les gros volumes</t>
  </si>
  <si>
    <t>Oui, mais non utilisé par tous les agents</t>
  </si>
  <si>
    <t>Oui, et connu et utilisé par tous les agents</t>
  </si>
  <si>
    <t>Non, formation sur demande des agents intéressés</t>
  </si>
  <si>
    <t>Non, même si formation commune ouverte à tous proposée</t>
  </si>
  <si>
    <t>Unité</t>
  </si>
  <si>
    <t xml:space="preserve">Combien de managers ont été formés sur le sujet du numérique responsable ? </t>
  </si>
  <si>
    <t>Pour l'année 2023, combien de vos agents vont-ils être formés spécifiquement sur ce sujet ?</t>
  </si>
  <si>
    <t>Combien de vos agents ont-ils déjà été formés spécifiquement sur ce sujet ?</t>
  </si>
  <si>
    <t>Oui, généralisé</t>
  </si>
  <si>
    <t>Oui, ponctuellement</t>
  </si>
  <si>
    <t>Non, mais sensibilisé</t>
  </si>
  <si>
    <t>Avez-vous travaillé sur la réduction du temps passé par un agent sur vos services numériques (le temps moyen pour obtenir une information ou faire une démarche) ?</t>
  </si>
  <si>
    <t>Avez-vous travaillé sur la réduction du temps passé par un usager sur vos services numériques (le temps moyen pour obtenir une information ou faire une démarche) ?</t>
  </si>
  <si>
    <t>En projet</t>
  </si>
  <si>
    <t>Oui, existante</t>
  </si>
  <si>
    <t>Non, sauf 1-2</t>
  </si>
  <si>
    <t>Oui, régulièrement</t>
  </si>
  <si>
    <t>Oui, une grande partie</t>
  </si>
  <si>
    <t>Stratégie globale</t>
  </si>
  <si>
    <t>L'engagement environnemental et sociétal fait-il partie des valeurs de la collectivité ?</t>
  </si>
  <si>
    <t>C'est une valeur secondaire de la collectivité</t>
  </si>
  <si>
    <t>C'est une valeur principale de la collectivité</t>
  </si>
  <si>
    <t>Il s'agit d'un centre d'intérêt des agents mais pas d'une valeur de la collectivité</t>
  </si>
  <si>
    <t xml:space="preserve">Les engagements et initiatives de la collectivité sur le NR sont-ils valorisés auprès des agents et des citoyens ? </t>
  </si>
  <si>
    <t>Non, il n'y a pas de communication spécifique sur ces engagements/initiatives</t>
  </si>
  <si>
    <t>Les engagements/initiatives de la CT sont visibles sur le site</t>
  </si>
  <si>
    <t>Les engagments/initiatives de la CT font régulièrement l'objet de communications dédiées</t>
  </si>
  <si>
    <t>Les engagements/initiatives de la CT sont un élément clé de son image et de sa communication</t>
  </si>
  <si>
    <t xml:space="preserve">Les indicateurs de suivi liés à l'impact environnemental de l'IT sont-ils communiqués aux agents ? </t>
  </si>
  <si>
    <t>Certains KPI sont diffusés occasionnellement pour appuyer des messages</t>
  </si>
  <si>
    <t>Les KPI sont régulièrement diffusé à travers des communications spécifiques</t>
  </si>
  <si>
    <t>Ces KPI sont régulièrement partagés et sont accompagnés de compléments d'informations, objectifs, bonnes pratiques…</t>
  </si>
  <si>
    <t>Selon votre estimation, dans quelles mesures vos agents sont ils au courant de vos initiatives et engagements Numérique Responsable ?</t>
  </si>
  <si>
    <t>Au-delà des communications sur les initiatives et engagements de la CT, veillez-vous à la sensibilisation et la compréhension de vos agents des enjeux du Numérique Responsable ?</t>
  </si>
  <si>
    <t>A quelques moments clés de leur vie professionnelle (recrutement, montée de grades, formations ou évènements…)</t>
  </si>
  <si>
    <t>Régulièrement via des communications</t>
  </si>
  <si>
    <t>Régulièrement via des communications, des évènements, des formations</t>
  </si>
  <si>
    <t>Existe-t-il des objectifs et indicateurs sur le niveau de formation des agents sur les leviers Numérique Responsable ?</t>
  </si>
  <si>
    <t>Les participants aux formations sont suivis mais il n'y a pas d'objectifs définis</t>
  </si>
  <si>
    <t>Des objectifs de participation sont fixés et peuvent éventuellement être regardés pour des promotions / primes…</t>
  </si>
  <si>
    <t>Le niveau de maturité de chaque collaborateur sur ces sujets est tracé (via une certification par exemple)</t>
  </si>
  <si>
    <t>Vous assurez-vous de la montée en compétence de vos équipes sur les leviers Numérique Responsable (écoconception applicative, optimisation des infrastructures, gestion responsable du cloud, optimisation de l'architecture, virtualisation des serveurs…) ?</t>
  </si>
  <si>
    <t>Ces compétences ne sont pas développées en interne mais les messages clés sont communiqués de temps en temps aux agents</t>
  </si>
  <si>
    <t>Des formations / sensibilisations génériques sur le Numérique Responsable sont disponibles</t>
  </si>
  <si>
    <t>Des formations détaillées sont disponibles sur des leviers spécifiques</t>
  </si>
  <si>
    <t>Les compétences / expériences sur le Numérique responsable sont elles valorisées au niveau du recrutement ?</t>
  </si>
  <si>
    <t>Ces compétences / expériences sont recherchées chez les candidats</t>
  </si>
  <si>
    <t>Des postes sont ouverts spécifiquement pour acquérir ces compétences dans la CT</t>
  </si>
  <si>
    <t>Ces compétences / expériences sont valorisées si le candidat les met en avant et/ou si elles correspondent au besoin recherché</t>
  </si>
  <si>
    <t>Les compétences / expériences sur le Numérique responsable sont elles valorisées au cours de l'évolution d'un collaborateur dans l'entreprise ?</t>
  </si>
  <si>
    <t>Le développement d'un agent via des formations est reconnu de manière générale</t>
  </si>
  <si>
    <t>Ces compétences sont reconnues comme des compétences stratégiques pour un agent</t>
  </si>
  <si>
    <t>Le développement de ces compétences peut constituer un prérequis pour certains grades</t>
  </si>
  <si>
    <t>Selon vous, vos agents adoptent-ils un comportement responsable sur le volet du numérique ?</t>
  </si>
  <si>
    <t>Ils appliquent les bonnes pratiques recommandées par la CT</t>
  </si>
  <si>
    <t>Ils adoptent individuellement un comportement responsable au-delà des recommandations de la CT</t>
  </si>
  <si>
    <t>Les agents échangent entre eux sur les bonnes pratiques pour assurer un comportement collectif responsable</t>
  </si>
  <si>
    <t>Sensibilisez-vous vos collaborateurs aux bonnes pratiques IT (éteindre les équipements, limiter l'envoi et le stockage excessif de données…) ?</t>
  </si>
  <si>
    <t>Il n'y a pas de sensibilisation mise en place</t>
  </si>
  <si>
    <t>Les bonnes pratiques sont diffusées régulièrement (au travers de communications, écrans de veille, chartes…)</t>
  </si>
  <si>
    <t>Les bonnes pratiques sont encouragées (au travers de challenges, évènements, formations…)</t>
  </si>
  <si>
    <t>Le respect des bonnes pratiques est fortement incité par les entités et le management d'équipes</t>
  </si>
  <si>
    <t>Vos collaborateurs manifestent-ils une volonté de changement des pratiques de l'entreprise en termes de Numérique Responsable ?</t>
  </si>
  <si>
    <t>Les agents montrent une prise de conscience et une responsabilité individuelle</t>
  </si>
  <si>
    <t>Les agents participent à la diffusion de bonnes pratiques en interne</t>
  </si>
  <si>
    <t>Les agents sont force de proposition pour diminuer l'impact environnemental de l'IT de l'entreprise</t>
  </si>
  <si>
    <t>Par quels canaux les agents peuvent ils partager des propositions pour diffuser et faire adopter un comportement Numérique Responsable dans la CT ?</t>
  </si>
  <si>
    <t>Aucun canal n'existe</t>
  </si>
  <si>
    <t>Les agents peuvent s'investir dans des groupes de travail ou remonter des propositions via le management</t>
  </si>
  <si>
    <t>Un canal dédié permet aux agents de diffuser des bonnes pratiques ou de les remonter à des représentants Numérique Responsable</t>
  </si>
  <si>
    <t>Un canal dédié existe et un processus de traitement et de suivi des propositions est en place</t>
  </si>
  <si>
    <t>Non, nous ne sommes pas concernés</t>
  </si>
  <si>
    <t>&lt;4</t>
  </si>
  <si>
    <t>4&lt;X&lt;8</t>
  </si>
  <si>
    <t>8&lt;X&lt;12</t>
  </si>
  <si>
    <t>&gt;12</t>
  </si>
  <si>
    <t>Comment anticipez-vous les nouvelles réglementations sur le sujet (exemple la loi relative à la lutte contre le gaspillage et à l'économie circulaire) ?</t>
  </si>
  <si>
    <t>Envisagez-vous en 2023 d'engager votre organisation dans une labellisation concernant la réduction de l'impact du numérique ?</t>
  </si>
  <si>
    <t>Quel est le nombre de projets numérique démarrés en 2022 et intégrant des clauses environnementales et sociales ?</t>
  </si>
  <si>
    <t xml:space="preserve">Des outils collaboratifs sont-ils utilisés par les agents ? </t>
  </si>
  <si>
    <t>Non, la collaboration se fait par mail uniquement</t>
  </si>
  <si>
    <t>Les agents ont accès à des espaces de stockages partagés</t>
  </si>
  <si>
    <t>Les agents ont accès à des outils collaboratifs</t>
  </si>
  <si>
    <t>Les agents ont accès à des outils collaboratifs et sont formés/sensibilisés à une utilisation responsable</t>
  </si>
  <si>
    <t>Si oui, décrivez les partenariats, accords ou certifications</t>
  </si>
  <si>
    <t xml:space="preserve">Avez-vous mesuré cette empreinte en interne collectivité ou en ayant recours à un bureau d'étude spécialisé ? </t>
  </si>
  <si>
    <t>En interne collectivité</t>
  </si>
  <si>
    <t>En ayant recours à un prestataire</t>
  </si>
  <si>
    <t>Oui, partiellement</t>
  </si>
  <si>
    <t>Oui, en grande partie</t>
  </si>
  <si>
    <t>Oui ils sont totalement inclus</t>
  </si>
  <si>
    <t>Si oui, à quelles plateformes faites vous les dons ?</t>
  </si>
  <si>
    <t>Avez-vous mis en place des actions de sensibilisation des habitants de votre territoire aux écogestes numériques ?</t>
  </si>
  <si>
    <t>Si oui, donnez un exemple</t>
  </si>
  <si>
    <t>Avez-vous déjà entrepris des actions de sensibilisation auprès des entreprises et associations du territoire ?</t>
  </si>
  <si>
    <t>Si oui, donnez des exemples</t>
  </si>
  <si>
    <t>Le pôle développement économique de votre collectivité, en lien avec les entreprises, est-il senbilisé aux enjeux du numérique responsable ?</t>
  </si>
  <si>
    <t xml:space="preserve">Quelles sont vos bonnes pratiques de conception de services numériques ? </t>
  </si>
  <si>
    <t>Niveau</t>
  </si>
  <si>
    <t>Des objectifs de réduction d'impact environnemental du numérique ont-ils été définis ?</t>
  </si>
  <si>
    <t>Pilotez-vous des indicateurs de mesure spécifique au numérique responsable ? (label?)</t>
  </si>
  <si>
    <t>La stratégie numérique responsable de l'entreprise est-elle déclinée dans chaque entité (DSI, achats, métiers…) ?</t>
  </si>
  <si>
    <t>La stratégie numérique responsable a-t-elle été déclinée dans d'autres documents programmatiques (SPASER, PCAET…) ?</t>
  </si>
  <si>
    <t>Avez-vous un budget spécifique dédié pour une stratégie et des actions Numérique Responsable ?</t>
  </si>
  <si>
    <t>Dans votre organisation, cette dimension écologique du numérique est intégrée comme : …</t>
  </si>
  <si>
    <t>Comment est réparti le budget Numérique responsable (formations, développement de use cases, enablers IT, autres) ?</t>
  </si>
  <si>
    <t>Utilisez-vous le RGESN ? Le protocole GHG ?</t>
  </si>
  <si>
    <t xml:space="preserve">Quels sont les outils collaboratifs utilisés par vos agents ? </t>
  </si>
  <si>
    <t xml:space="preserve">Quelle est la durée de vie moyenne de vos bornes WIFI ? </t>
  </si>
  <si>
    <t>Nombre d'enceintes</t>
  </si>
  <si>
    <t>Quels indicateurs sont suivis pour l'évaluation de votre empreinte environnementale du SI ?</t>
  </si>
  <si>
    <t>Pouvez-nous nous décrire les équipements concernés par la location, le % par rapport au parc global et les fournisseurs retenus ?</t>
  </si>
  <si>
    <t>Vos bonnes pratiques de conception de services numériques sont-elles liées à l'éco-conception de services numériques ?</t>
  </si>
  <si>
    <t>Parfois</t>
  </si>
  <si>
    <t>Souvent</t>
  </si>
  <si>
    <t>Toujours</t>
  </si>
  <si>
    <t>Vers quoi est dirigée la collecte des cartouches / toners ?</t>
  </si>
  <si>
    <t xml:space="preserve">Quelles sont les autres ressources NR que vous connaissez ? </t>
  </si>
  <si>
    <t>Quelle est votre politique de mise à jour des logiciels au sein de votre collectivité ?</t>
  </si>
  <si>
    <t>Aucune mise à jour</t>
  </si>
  <si>
    <t>Mise à jour des logiciels lorsqu'indispensable</t>
  </si>
  <si>
    <t>Mise à jour des logiciels de manière automatique</t>
  </si>
  <si>
    <t>Mise à jour des logiciels systématiquement à chaque nouvelle version</t>
  </si>
  <si>
    <t>Pilier</t>
  </si>
  <si>
    <t>1. Stratégie et Gouvernance</t>
  </si>
  <si>
    <t>2. Mesure</t>
  </si>
  <si>
    <t>3. Achat</t>
  </si>
  <si>
    <t>4. Conception</t>
  </si>
  <si>
    <t>5. DEEE et Economie circulaire</t>
  </si>
  <si>
    <t>6. Sensibilisation</t>
  </si>
  <si>
    <t>Dans quelle mesure les emails sont utilisés comme moyen de collaboration, notamment pour le partage de fichiers ?</t>
  </si>
  <si>
    <t>Outil collaboratif</t>
  </si>
  <si>
    <t>Il s'agit du seul moyen de collaboration digital</t>
  </si>
  <si>
    <t>D'autres outils de collaboration sont en place (50% mails / 50% outils)</t>
  </si>
  <si>
    <t>La collaboration sur des documents se fait presque exclusivement par des outils collaboratifs en interne</t>
  </si>
  <si>
    <t>La collaboration sur des documents se fait presque exclusivement par des outils collaboratifs en interne et en externe</t>
  </si>
  <si>
    <t>Quelques ateliers ont été réalisés mais les idées n'ont pas été cadrées</t>
  </si>
  <si>
    <t>Quelques ateliers d'idéation ont été réalisés et ont permis d'identifier des cas d'usage qui restent à investiguer</t>
  </si>
  <si>
    <t>Plusieurs ateliers ont permis d'identifier une liste de cas d'usages cadrée et priorisée</t>
  </si>
  <si>
    <t>1 ou 2 initiatives</t>
  </si>
  <si>
    <t>3 ou 4 initiatives</t>
  </si>
  <si>
    <t>&gt;5 initiatives</t>
  </si>
  <si>
    <t>Une réflexion a été initiée mais n'a pas encore donné suite</t>
  </si>
  <si>
    <t>Des discussions avec des prospects / partenaires potentiels ont été engagées</t>
  </si>
  <si>
    <t>Des projets / initiatives sont en cours ou on déjà été menées</t>
  </si>
  <si>
    <r>
      <t xml:space="preserve">Faites-vous un développement d'abord pour les terminaux mobiles, en adoptant une approche </t>
    </r>
    <r>
      <rPr>
        <i/>
        <sz val="10"/>
        <rFont val="Calibri"/>
        <family val="2"/>
        <scheme val="minor"/>
      </rPr>
      <t>responsive</t>
    </r>
    <r>
      <rPr>
        <sz val="10"/>
        <rFont val="Calibri"/>
        <family val="2"/>
        <scheme val="minor"/>
      </rPr>
      <t xml:space="preserve"> ?</t>
    </r>
  </si>
  <si>
    <t>N°</t>
  </si>
  <si>
    <t>La stratégie numérique responsable de la collectivité est-elle déclinée dans chaque direction (DSI, achats, métiers…) ?</t>
  </si>
  <si>
    <t>Le pôle Numérique Responsable peut il s'appuyer sur des relais identifiés dans les directions ?</t>
  </si>
  <si>
    <t>Avez-vous initié une migration vers le Cloud ?</t>
  </si>
  <si>
    <t>Quelle typologie de cloud utilisez-vous (cloud privé / privé mutualisé / public, plusieurs réponses possibles) ?</t>
  </si>
  <si>
    <t>Des réflexions sont en cours sur cette migration</t>
  </si>
  <si>
    <t>Une partie des applicatifs a été migrée vers le cloud</t>
  </si>
  <si>
    <t>Les bonnes pratiques ont été identifiées</t>
  </si>
  <si>
    <t xml:space="preserve">Certaines des bonnes pratiques sont en cours de déploiement </t>
  </si>
  <si>
    <t xml:space="preserve">Certaines des bonnes pratiques sont déjà déployées </t>
  </si>
  <si>
    <t>&gt;10% et &lt;20%</t>
  </si>
  <si>
    <t>&gt;20% et &lt;30%</t>
  </si>
  <si>
    <t>Reporting</t>
  </si>
  <si>
    <t>7. IT pour une Collectivité Eco-responsable</t>
  </si>
  <si>
    <t>Territoire Eco-responsable</t>
  </si>
  <si>
    <t>Les compétences / expériences sur le Numérique responsable sont elles valorisées au cours de l'évolution d'un agent dans l'organisation ?</t>
  </si>
  <si>
    <t>La majeure partie des applicatifs de la collectivité sont dans le cloud</t>
  </si>
  <si>
    <t>Les agents sont force de proposition pour diminuer l'impact environnemental de l'IT de la collectivité</t>
  </si>
  <si>
    <t>Vos agents manifestent-ils une volonté de changement des pratiques de la collectivité en termes de Numérique Responsable ?</t>
  </si>
  <si>
    <t>La mise à jour automatiques des applications est-elle activée par défaut sur vos smartphones fournis à vos agents ?</t>
  </si>
  <si>
    <t>La mise à jour automatiques de l'OS est-elle activée par défaut sur vos smartphones fournis à vos agents ?</t>
  </si>
  <si>
    <t>Sensibilisez-vous vos agents aux bonnes pratiques IT (éteindre les équipements, limiter l'envoi et le stockage excessif de données…) ?</t>
  </si>
  <si>
    <t>Le niveau de maturité de chaque agent sur ces sujets est tracé (via une certification par exemple)</t>
  </si>
  <si>
    <t>Quel est le nombre de jours télétravaillés par mois et par agent en moyenne ?</t>
  </si>
  <si>
    <t>Si oui, décrivez les éléments essentiels et l'année de mise en œuvre ?</t>
  </si>
  <si>
    <t>La collectivité s'appuie sur les préconisations d'organismes reconnus comme l'ADEME, le club Green IT…</t>
  </si>
  <si>
    <t>Etes-vous familier avec l'Analyse du Cycle de Vie (ACV) ?</t>
  </si>
  <si>
    <t>Datacenter</t>
  </si>
  <si>
    <t xml:space="preserve">Avez-vous implémenté des mesures pour réduire l'impact environnemental du cloud au sein de votre organisation ?  </t>
  </si>
  <si>
    <t>Si oui, pouvez-vous nous décrire les équipements concernés et les revendeurs retenus ?</t>
  </si>
  <si>
    <t>Choisissez-vous un prestataire d'hébergement ou opérateurs datacenters selon des critères de performance environnementale ?</t>
  </si>
  <si>
    <t>Pouvez-vous nous décrire les équipements concernés par la location, le % par rapport au parc global et les fournisseurs retenus ?</t>
  </si>
  <si>
    <t>Les usagers finaux (citoyens, agents, etc.) sont-ils impliqués dans le processus de conception de vos services numériques ?</t>
  </si>
  <si>
    <t>Quels sont les équipements et versions minimum cibles ? (exemple : IPhone 5, Samsung Galaxy S4…)</t>
  </si>
  <si>
    <t>Avez-vous mis en place une urbanisation de votre datacenter permettant de réduire ses impacts environnementaux, notamment dans une perspective d'évolution de ce datacenter ?</t>
  </si>
  <si>
    <t>Les équipements physiques du datacenter sont-ils mutualisés ?</t>
  </si>
  <si>
    <t>Avez-vous prévu dans le choix de vos fournisseurs d’équipements électriques et électroniques (ordinateurs, imprimantes, cartouches, serveurs, smartphones,…) des dispositions spécifiques à la gestion de la fin de vie ?</t>
  </si>
  <si>
    <t>L'énergie thermique produite par les datacenters que vous utilisez est-elle réutilisée ?</t>
  </si>
  <si>
    <t>Faites-vous un contrôle régulier des équipements numériques inutilisés afin de les décommissionner le cas échéant ?</t>
  </si>
  <si>
    <t>Les engagements/initiatives de la CT font régulièrement l'objet de communications dédiées</t>
  </si>
  <si>
    <t>Le pôle développement économique de votre collectivité, en lien avec les entreprises, est-il sensibilisé aux enjeux du numérique responsable ?</t>
  </si>
  <si>
    <t>Des solutions non-numérique plus efficientes ont-elles été envisagées ?</t>
  </si>
  <si>
    <t>Dimension</t>
  </si>
  <si>
    <t>Avez-vous lancé des initiatives en mode expérimental ou à l'échelle pour utiliser les nouvelles technologies (Internet of things, 5G, AR/VR, IA/Big Data…) pour réduire l'impact de vos activités ?</t>
  </si>
  <si>
    <t>Avez-vous mis à disposition des compétences et ressources IT de votre collectivité au service d'initiatives pour le développement durable au sein de la collectivité ?</t>
  </si>
  <si>
    <t>Avez-vous mis à disposition des compétences et ressources IT de votre collectivité au service d'initiatives pour le développement durable sur le territoire ?</t>
  </si>
  <si>
    <t>Avez-vous engagé une réflexion pour étudier l'apport des nouvelles technologies (Internet of things, 5G, AR/VR, IA/Big Data…) pour réduire l'impact de vos activités au sein de votre collectivité ?</t>
  </si>
  <si>
    <t>Avez-vous engagé une réflexion pour étudier l'apport des nouvelles technologies (Internet of things, 5G, AR/VR, IA/Big Data…) pour accompagner la transition écologique de votre territoire ?</t>
  </si>
  <si>
    <t>Envisagez vous le numérique comme un levier de transition de votre territoire ?</t>
  </si>
  <si>
    <t>Si oui, est-il clairement formulé dans votre document de politique et stratégie environnementale de votre collectivité ?</t>
  </si>
  <si>
    <t>Depuis quand ces clauses existent ?</t>
  </si>
  <si>
    <t>Est-ce que le fait d'intégrer ces clauses font partie d'une politique/stratégie clairement définie ?</t>
  </si>
  <si>
    <t>Avez vous déjà lancé des initiatives profitant de la mutualisation d'outils ou de services IT entre les collectivités?</t>
  </si>
  <si>
    <t>Si oui, pouvez-vous nous donner des exemples ?</t>
  </si>
  <si>
    <t>Oui, systématiquement</t>
  </si>
  <si>
    <t>Non, mais en cours de mise en place</t>
  </si>
  <si>
    <t>Non, mais souhaite le faire</t>
  </si>
  <si>
    <t>Oui, en cours de mise en place</t>
  </si>
  <si>
    <t>Oui, déjà mis en place</t>
  </si>
  <si>
    <t>Oui, en cours d'identification</t>
  </si>
  <si>
    <t>Oui, les acteurs sont bien identifiés</t>
  </si>
  <si>
    <t>Oui, en cours de mise en relation avec un/des fournisseurs</t>
  </si>
  <si>
    <t>Non, pas du tout</t>
  </si>
  <si>
    <t>Non, mais connait bien ce référentiel</t>
  </si>
  <si>
    <t xml:space="preserve">Oui, ponctuellement </t>
  </si>
  <si>
    <t>Oui, sur l'ensemble des acteurs</t>
  </si>
  <si>
    <t>Oui, sur une petite partie des acteurs</t>
  </si>
  <si>
    <t>Oui, sur une grande partie des acteurs</t>
  </si>
  <si>
    <t>Non, mais en cours de réalisation</t>
  </si>
  <si>
    <t>Réponse aux questions ouvertes / Commentaire</t>
  </si>
  <si>
    <t>Comment est réparti le budget Numérique responsable (formations, développement de use cases, territoire connecté et durable, autres) ?</t>
  </si>
  <si>
    <t>Pilotez-vous des indicateurs de mesure spécifique au numérique responsable ?</t>
  </si>
  <si>
    <t>4. Transformation de l'IT</t>
  </si>
  <si>
    <t>Mobilisez-vous un chef de produit, un ou plusieurs designers UX, un expert accessibilité, et un chercheur usager sur la conception de vos services numériques ?</t>
  </si>
  <si>
    <t>Avez-vous travaillé sur la réduction du temps passé par un agent ou un usager sur vos services numériques (le temps moyen pour obtenir une information ou faire une démarche) ?</t>
  </si>
  <si>
    <t>Une réduction volontaire du volume de données collectées et transmises est-elle mise en place ?</t>
  </si>
  <si>
    <t>Intégrez-vous des critères sociaux dans le choix de vos fournisseurs d’équipements numériques?</t>
  </si>
  <si>
    <t>Intégrez-vous des critères environnementaux dans le choix de vos fournisseurs d’équipements numériques?</t>
  </si>
  <si>
    <t>Achat de services</t>
  </si>
  <si>
    <t>Le responsable numérique responsable participe t-il à des comités de pilotage stratégiques au sein de la collectivité ?</t>
  </si>
  <si>
    <t>Le pôle Numérique Responsable est rattaché au niveau de la DSI ou d'une autre direction</t>
  </si>
  <si>
    <t>Le pôle Numérique Responsable est rattaché au niveau du DGS / de la Direction générale</t>
  </si>
  <si>
    <t>Achat d'équipements d'occasion ou reconditionné</t>
  </si>
  <si>
    <t>Achat d'énergie</t>
  </si>
  <si>
    <t>Etes vous prêts à intégrer l'indice de réparabilité des produits numériques lorsqu'ils existent dans vos marchés?</t>
  </si>
  <si>
    <t>Avez-vous des bacs de collecte pour les DEEE professionnels et personnels de vos agents ?</t>
  </si>
  <si>
    <t>Avez-vous déjà identifié les acteurs en externe à votre structure, qui peuvent réduire les impacts écologiques du numérique ?</t>
  </si>
  <si>
    <t>Si oui, listez les 3 acteurs qui ont le plus d'impact dans la réduction d'empreintes écologiques du numérique</t>
  </si>
  <si>
    <t>Pilotez vous la performance énergétique / le PUE (indicateur d'efficacité énergétique) de votre data center ?</t>
  </si>
  <si>
    <t>Non, mais le PUE est mesuré de manière ponctuelle</t>
  </si>
  <si>
    <t>Non, mais le PUE est mesuré de manière régulière</t>
  </si>
  <si>
    <t xml:space="preserve">Connaissez-vous la boîte à outils Numérique responsable de la DINUM et de l'INR ? </t>
  </si>
  <si>
    <t xml:space="preserve">Les engagements et initiatives de la collectivité sur le Numérique Responsable sont-ils valorisés auprès des agents et des citoyens ? </t>
  </si>
  <si>
    <t>Par quels canaux les agents peuvent ils partager des propositions pour diffuser et faire adopter un comportement Numérique Responsable dans la collectivité ?</t>
  </si>
  <si>
    <t>Le RGAA est-il systématiquement pris en compte par les éditeurs de logiciel ?</t>
  </si>
  <si>
    <t>La conformité au RGPD est-elle systématiquement mise en place par les éditeurs de logiciel ?</t>
  </si>
  <si>
    <t>Quelles sont les bonnes pratiques éco-responsables mises en place dans votre datacenter ?</t>
  </si>
  <si>
    <t>Collectivité Eco-responsable</t>
  </si>
  <si>
    <t>… (à compléter par la collectivité)</t>
  </si>
  <si>
    <t>Notes &amp; Réponses</t>
  </si>
  <si>
    <t>Les indicateurs de mesure sont mis en place et pilotés pour l'ensemble des activités liées au numérique</t>
  </si>
  <si>
    <t>Certains indicateurs sont mis en place et pilotés, mais pas pour l'ensemble des activités liées au numérique</t>
  </si>
  <si>
    <t>Dans quelle fonction de la collectivité la dimension écologique du numérique est intégrée ?</t>
  </si>
  <si>
    <t>Mettez-vous en place une stratégie "AVEC/BYOD" (Apportez Votre Equipement personnel de Communication/Bring Your Own Device) pour l'équipement informatique type ordinateur portable ?</t>
  </si>
  <si>
    <t>Mettez-vous en place une stratégie "AVEC/BYOD" (Apportez Votre Equipement personnel de Communication/Bring Your Own Device) pour l'équipement téléphonique type smartphone ?</t>
  </si>
  <si>
    <t>Oui, mais l'outil est très peu utilisé</t>
  </si>
  <si>
    <t>Oui, la performance environnementale du SI est suivi et piloté à l'aide d'un outil</t>
  </si>
  <si>
    <t xml:space="preserve">Avez-vous mesuré cette empreinte en interne par la collectivité ou en ayant recours à un bureau d'étude spécialisé ? </t>
  </si>
  <si>
    <t>Non, ne connaît pas</t>
  </si>
  <si>
    <t>Non, mais la stratégie sera mise en place à court terme</t>
  </si>
  <si>
    <t>Oui, les calculs sont déjà basés sur la méthodologie AVC</t>
  </si>
  <si>
    <t>Non, mais prévu de le faire à court terme</t>
  </si>
  <si>
    <t>Publiez-vous un SPASER (Schéma de Promotion des Achats publics Socialement et Économiquement Responsables) ? (si vous êtes concerné)</t>
  </si>
  <si>
    <t>Oui, la plupart du temps</t>
  </si>
  <si>
    <t>Non, mais sera mis en place à court terme</t>
  </si>
  <si>
    <t>Non, pas encore au clair à ce sujet</t>
  </si>
  <si>
    <t>Oui, prêt pour tout renouvellement marché à partir de 2023</t>
  </si>
  <si>
    <t>Oui, c'est déjà intégré dans les marchés</t>
  </si>
  <si>
    <t xml:space="preserve">Réponse 1 </t>
  </si>
  <si>
    <t>Réponse 2</t>
  </si>
  <si>
    <t>Profil 1</t>
  </si>
  <si>
    <t>Profil 2</t>
  </si>
  <si>
    <t>Profil 3</t>
  </si>
  <si>
    <t>Profil 4</t>
  </si>
  <si>
    <t>Profil 5</t>
  </si>
  <si>
    <t>Oui, pour une petite partie des équipements de la collectivité</t>
  </si>
  <si>
    <t>Oui, pour une grande partie des équipements de la collectivité</t>
  </si>
  <si>
    <t>Oui, pour quasiment l'ensemble des équipements de la collectivité</t>
  </si>
  <si>
    <t>Oui, c'est clairement défini dans la politique/stratégie de la collectivité</t>
  </si>
  <si>
    <t>Oui, une partie du SI est déjà alimentée par de l'énergie renouvelable</t>
  </si>
  <si>
    <t>Oui, la quasi-totalité du SI est alimentée par de l'énergie renouvelable</t>
  </si>
  <si>
    <t>Oui, pour une partie de nos services numériques</t>
  </si>
  <si>
    <t>Oui, pour quasiment l'ensemble de nos services numériques</t>
  </si>
  <si>
    <t>Non et ne souhaite pas le faire</t>
  </si>
  <si>
    <t>Souvent et pour la plupart des rôles mentionnés</t>
  </si>
  <si>
    <t>Oui, mais partiellement</t>
  </si>
  <si>
    <t>Oui, le PUE du data center est piloté et a donné lieux à des actions correctives</t>
  </si>
  <si>
    <t>Plusieurs indicateurs sont en place (consommation électrique, taux d'utilisation…) et ont donné lieux à des actions correctives</t>
  </si>
  <si>
    <t>Oui, complètement</t>
  </si>
  <si>
    <t>Oui, mis en place de manière générale pour l'ensemble des outils et de services numériques</t>
  </si>
  <si>
    <t>Oui, des initiatives existent pour certains outils et services numériques</t>
  </si>
  <si>
    <t>Oui, mais que pour certains équipements</t>
  </si>
  <si>
    <t>Oui, parfois</t>
  </si>
  <si>
    <t>Oui, mais uniquement lors qu'un agent le demande</t>
  </si>
  <si>
    <t>Quel est le mode de paramétrage par défaut de vos imprimantes ? (noir et blanc, impression en mode brouillon, impression en recto-verso, etc.)</t>
  </si>
  <si>
    <t>Non, mais une étude a été faite sur la faisabilité</t>
  </si>
  <si>
    <t>Oui, mais les agents ne sont pas sensibilisés et ne comprennent pas l'intérêt de cette action</t>
  </si>
  <si>
    <t>Oui, et les agents sont sensibilisés à ce sujet et adoptent un comportement adapté</t>
  </si>
  <si>
    <t>Oui, de manière ponctuelle</t>
  </si>
  <si>
    <t>Oui, les acteurs sont bien identifiés et les actions de sensibilisation sont en cours vis-à-vis de ces acteurs</t>
  </si>
  <si>
    <t>Oui, ponctuellement sur une partie de nos services numériques</t>
  </si>
  <si>
    <t>Oui, dans certains services uniquement</t>
  </si>
  <si>
    <t>Oui, clairement formulé</t>
  </si>
  <si>
    <t>Oui, les études ont été réalisées sur l'impact environnement de l'utilisation de ces nouvelles technologies</t>
  </si>
  <si>
    <t>Avez-vous étudié l'impact environnement de ces nouvelles technologies avant le lancement de ces initiatives ?</t>
  </si>
  <si>
    <t>Oui, et les résultats ont été pris en compte dans la prise de décision sur le lancement de ces initiatives</t>
  </si>
  <si>
    <t>Profil 6</t>
  </si>
  <si>
    <t>Quel est le niveau d’urgence de votre besoin en outils ou méthodologies de mesure ? (Faible / Moyen / élevé)</t>
  </si>
  <si>
    <t>Quelles sont vos priorités ? (Se faire accompagner / Se former / Outiller / Mesurer / Suivre / etc.)</t>
  </si>
  <si>
    <t>Si oui, précisez quelle est sa part dans la décision finale ? (en %)</t>
  </si>
  <si>
    <t>Quelle est la part de l'achat de matériel informatique d'occasion ou reconditionné par rapport à l'achat de neuf ? (en %)</t>
  </si>
  <si>
    <t>Quelle part de vos copieurs est issue d'une filière de reconditionnement ? (en %)</t>
  </si>
  <si>
    <t>Quelle est la part des cartouches d'impression issue d'une filière de reconditionnement ? (en %)</t>
  </si>
  <si>
    <t>Quelle est la part de l'achat d'équipements (ordinateurs, téléphonie) éco-labellisés par rapport au total ? (en %)</t>
  </si>
  <si>
    <t>Quelle est la part de solutions open-source dans vos projets ? (en %)</t>
  </si>
  <si>
    <t>Pilotez-vous l'usage et la consommation de vos serveurs ? (en %)</t>
  </si>
  <si>
    <t>Quel type de formation souhaitez-vous pour vos agents ? (Formation courte (&lt;= 1 j) / Formation longue (2 jours et plus))</t>
  </si>
  <si>
    <t>Pouvez-vous nous communiquer un exemple de CCTP (Cahier des Clauses Techniques Particulières) intégrant des clauses environnementales et sociales ?</t>
  </si>
  <si>
    <t>Publiez-vous votre BEGES (Décret bilan des émissions de gaz à effet de serre) ?</t>
  </si>
  <si>
    <t>Utilisez-vous le RGESN (Référentiel général d'écoconception de services numériques) ? Le protocole GHG (protocole international proposant un cadre pour mesurer, comptabiliser et gérer les émissions de gaz à effet de serre) ?</t>
  </si>
  <si>
    <t>Déploiement</t>
  </si>
  <si>
    <r>
      <rPr>
        <b/>
        <sz val="12"/>
        <color theme="1"/>
        <rFont val="Calibri"/>
        <family val="2"/>
        <scheme val="minor"/>
      </rPr>
      <t>Profil des interviewés</t>
    </r>
    <r>
      <rPr>
        <b/>
        <sz val="14"/>
        <color theme="1"/>
        <rFont val="Calibri"/>
        <family val="2"/>
        <scheme val="minor"/>
      </rPr>
      <t xml:space="preserve">
</t>
    </r>
    <r>
      <rPr>
        <sz val="10"/>
        <color theme="1"/>
        <rFont val="Calibri"/>
        <family val="2"/>
        <scheme val="minor"/>
      </rPr>
      <t>(mettez un "x" dans la case pour identifier le ou les profils à interroger pour chaque question)</t>
    </r>
  </si>
  <si>
    <t>Oui, mais peu utilisé</t>
  </si>
  <si>
    <t>Quel est la proportion des projets numériques démarrés en 2022 qui intègrent des clauses environnementales et sociales ?</t>
  </si>
  <si>
    <t>Le RGAA (Référentiel général d'amélioration de l'accessibilité) est-il mis en œuvre lors du développement interne d'une application ?</t>
  </si>
  <si>
    <t>La conformité au RGPD est-elle systématiquement mise en place lors du développement interne d'une application ?</t>
  </si>
  <si>
    <t>Oui, régulièrement sur l'ensemble de nos services numériques</t>
  </si>
  <si>
    <t>Oui, partiellement reflété</t>
  </si>
  <si>
    <t>Oui, des actions ponctuelles ont été engagées</t>
  </si>
  <si>
    <t>Outil de diagnostic - Guide d'utilisateur</t>
  </si>
  <si>
    <t>1. Introduction</t>
  </si>
  <si>
    <t>2. Utilisation de l'outil</t>
  </si>
  <si>
    <t>Note 1</t>
  </si>
  <si>
    <t>Note 2</t>
  </si>
  <si>
    <t>Note moyenne</t>
  </si>
  <si>
    <t>Pondération</t>
  </si>
  <si>
    <t>Note pondérée</t>
  </si>
  <si>
    <t>Somme note pondérée</t>
  </si>
  <si>
    <t>Somme pondération</t>
  </si>
  <si>
    <t>Calcul des notes par dimension</t>
  </si>
  <si>
    <t>Calcul des notes par question</t>
  </si>
  <si>
    <t>Note de maturité</t>
  </si>
  <si>
    <t>Note de maturité par dimension</t>
  </si>
  <si>
    <t>Note de maturité globale</t>
  </si>
  <si>
    <t>Acronyme</t>
  </si>
  <si>
    <t>Signification</t>
  </si>
  <si>
    <t>ACV</t>
  </si>
  <si>
    <t>Analyse de Cycle de Vie</t>
  </si>
  <si>
    <t>DEEE</t>
  </si>
  <si>
    <t>Déchets d’Equipements Electriques et Electroniques</t>
  </si>
  <si>
    <t>GES</t>
  </si>
  <si>
    <t>Gas à Effet de Serre</t>
  </si>
  <si>
    <t>IA</t>
  </si>
  <si>
    <t>Réalité Augmentée</t>
  </si>
  <si>
    <t>AR</t>
  </si>
  <si>
    <t>VR</t>
  </si>
  <si>
    <t>Réalité Virtuelle</t>
  </si>
  <si>
    <t xml:space="preserve">Intelligence Artificielle </t>
  </si>
  <si>
    <t>IT</t>
  </si>
  <si>
    <t>NR</t>
  </si>
  <si>
    <t>Numérique Responsable</t>
  </si>
  <si>
    <t>SPASER</t>
  </si>
  <si>
    <t xml:space="preserve">Schéma de Promotion des Achats publics Socialement et Économiquement Responsables </t>
  </si>
  <si>
    <t>PCAET</t>
  </si>
  <si>
    <t>Plan Climat Air Energie Territorial</t>
  </si>
  <si>
    <t>Apportez Votre Equipement personnel de Communication/Bring Your Own Device</t>
  </si>
  <si>
    <t>CCTP</t>
  </si>
  <si>
    <t>Cahier des Clauses Techniques Particulières</t>
  </si>
  <si>
    <t>UX</t>
  </si>
  <si>
    <t>User experience (Expérience Utilisateur)</t>
  </si>
  <si>
    <t>RGAA</t>
  </si>
  <si>
    <t>Référentiel général d'amélioration de l'accessibilité</t>
  </si>
  <si>
    <t>UI</t>
  </si>
  <si>
    <t>User Interface (Interface Utilisateur)</t>
  </si>
  <si>
    <t>DINUM</t>
  </si>
  <si>
    <t>Institut du Numérique Responsable</t>
  </si>
  <si>
    <t>INR</t>
  </si>
  <si>
    <t>Direction interministérielle du numérique</t>
  </si>
  <si>
    <t>Au-delà des communications sur les initiatives et engagements de la collectivité, veillez-vous à la sensibilisation et la compréhension de vos agents des enjeux du Numérique Responsable ?</t>
  </si>
  <si>
    <t xml:space="preserve">Fin du mode d'emploi </t>
  </si>
  <si>
    <t>Des initiatives indépendantes/non coordonnées ont été lancées dans certaines directions de la collectivité</t>
  </si>
  <si>
    <t>Non, mais c'est en cours de définition</t>
  </si>
  <si>
    <t>Non, mais c'est en cours de mise en place</t>
  </si>
  <si>
    <t>Non, mais c'est prévu à court terme</t>
  </si>
  <si>
    <t>Une personne porte ces sujets au sein d'une direction à temps partiel</t>
  </si>
  <si>
    <t>Une personne porte ces sujets au sein d'une direction à temps plein</t>
  </si>
  <si>
    <t>Plusieurs personnes occupent un poste à temps plein dédié au Numérique Responsable</t>
  </si>
  <si>
    <t>Une personne porte ces sujets au sein d'une direction à temps plein et elle dispose d'une équipe de contributeurs à temps partiel</t>
  </si>
  <si>
    <t>Le pôle Numérique Responsable est rattaché au niveau d'une sous-direction de la DSI ou d'une autre direction</t>
  </si>
  <si>
    <t>Les personnes sont déjà identifiées mais peu d'échanges ont été menés avec elles sur le sujet du NR</t>
  </si>
  <si>
    <t>Non, ne souhaite pas le faire</t>
  </si>
  <si>
    <t>Non, mais une réflexion a déjà été engagée</t>
  </si>
  <si>
    <t>Disposez-vous d'un outil de suivi et de pilotage de la performance environnementale du SI ?</t>
  </si>
  <si>
    <t>Non, mais souhaite le faire à court terme</t>
  </si>
  <si>
    <t>Aucune source identifiée</t>
  </si>
  <si>
    <t>Non, mais une réflexion a été engagée</t>
  </si>
  <si>
    <t>Oui, en partie</t>
  </si>
  <si>
    <t>Oui, pour l'ensemble des équipements / accessoires</t>
  </si>
  <si>
    <t>Non, mais le sujet a été étudié</t>
  </si>
  <si>
    <t>&gt;30% et &lt;40%</t>
  </si>
  <si>
    <t>&gt;40%</t>
  </si>
  <si>
    <t>Non, mais en cours d'identification des fournisseurs</t>
  </si>
  <si>
    <t>Non, mais souhaite les identifier</t>
  </si>
  <si>
    <t>10%&lt;X&lt;30%</t>
  </si>
  <si>
    <t>30%&lt;X&lt;50%</t>
  </si>
  <si>
    <t>50%&lt;X&lt;70%</t>
  </si>
  <si>
    <t>Non, mais une petite partie des agents concernés est sensibilisée</t>
  </si>
  <si>
    <t>Non, mais une grande partie des agents concernés est sensibilisée</t>
  </si>
  <si>
    <t>Oui, pratiqué par certains agents concernés</t>
  </si>
  <si>
    <t>Oui, pratiqué par l'ensemble des agents concernés</t>
  </si>
  <si>
    <t>Oui, une stratégie est mise en place pour certains aspects</t>
  </si>
  <si>
    <t>Oui, une stratégie est mise en place pour l'ensemble des aspects</t>
  </si>
  <si>
    <t>Non, mais c'est en cours</t>
  </si>
  <si>
    <t>Ponctuellement et pour uniquement certains des rôles mentionnés</t>
  </si>
  <si>
    <t>Généralisé mais pour uniquement certains des rôles mentionnés</t>
  </si>
  <si>
    <t>Généralisé pour l'ensemble des rôles mentionnés</t>
  </si>
  <si>
    <t>Oui, appliqué de manière ponctuelle</t>
  </si>
  <si>
    <t>Oui, appliqué de manière systématique</t>
  </si>
  <si>
    <t>Oui, urbanisation partielle</t>
  </si>
  <si>
    <t>Oui, urbanisation complète</t>
  </si>
  <si>
    <t>Oui, c'est un projet en cours</t>
  </si>
  <si>
    <t>Oui, mais de manière très ponctuelle</t>
  </si>
  <si>
    <t>Non, mais prévu de les identifier</t>
  </si>
  <si>
    <t>Oui, et nous l'utilisons de manière ponctuelle</t>
  </si>
  <si>
    <t>Oui, et nous l'utilisons de manière fréquente</t>
  </si>
  <si>
    <t>Non, mais c'est parfois mentionné dans les communications liées aux autres sujets (ex: sobriété énergétique)</t>
  </si>
  <si>
    <t>Certains agents saurait présenter quelques initiatives / engagements</t>
  </si>
  <si>
    <t>Un canal dédié permet aux agents de remonter des bonnes pratiques aux représentants Numérique Responsable</t>
  </si>
  <si>
    <t>Un canal dédié permet aux agents de diffuser des bonnes pratiques directement entre eux</t>
  </si>
  <si>
    <t>La plupart des agents montrent une prise de conscience et une responsabilité individuelle</t>
  </si>
  <si>
    <t xml:space="preserve">Seulement une petite partie des agents de la collectivité affichent une volonté de changement de pratique </t>
  </si>
  <si>
    <t>Ils appliquent de manière ponctuelle les bonnes pratiques recommandées par la CT</t>
  </si>
  <si>
    <t>Ils appliquent de manière générale les bonnes pratiques recommandées par la CT</t>
  </si>
  <si>
    <t>Ils sont accessibles lorsqu'on fait une demande auprès d'un ou de certains agents</t>
  </si>
  <si>
    <t>Non, mais un dispositif est en cours d'être mis en place</t>
  </si>
  <si>
    <t>Oui et le dispositif est très efficace</t>
  </si>
  <si>
    <t>Oui, pour une partie des équipements</t>
  </si>
  <si>
    <t>Oui, systématiquement pour l'ensemble des équipements</t>
  </si>
  <si>
    <t>Les bonnes pratiques sont communiquées ponctuellement à travers des échanges entre agents</t>
  </si>
  <si>
    <t>Des objectifs de participation sont fixés et suivis</t>
  </si>
  <si>
    <t>Des formations génériques sur le Numérique Responsable sont disponibles</t>
  </si>
  <si>
    <t>Des sensibilisations génériques sur le Numérique Responsable sont disponibles pour</t>
  </si>
  <si>
    <t>Oui, à travers des communications générales</t>
  </si>
  <si>
    <t>Oui, à travers des séances de sensibilisation dédiées</t>
  </si>
  <si>
    <t>Oui, à travers des formations spécifiques</t>
  </si>
  <si>
    <t>&lt;3</t>
  </si>
  <si>
    <t>3&lt;X&lt;6</t>
  </si>
  <si>
    <t>6&lt;X&lt;9</t>
  </si>
  <si>
    <t>9&lt;X&lt;12</t>
  </si>
  <si>
    <t>La collaboration sur des documents se fait la plupart du temps par email en interne</t>
  </si>
  <si>
    <t>Les agents ont accès à des espaces de stockages partagés ou des outils collaboratifs, mais les utilisent encore peu</t>
  </si>
  <si>
    <t>Des discussions informelles ont été initiées sur le sujet</t>
  </si>
  <si>
    <t>Non, mais les initiatives seront lancées à court terme</t>
  </si>
  <si>
    <t>Des projets / initiatives seront lancés avec un planning défini</t>
  </si>
  <si>
    <t>Il s'agit d'un centre d'intérêt de certains agents uniquement mais pas d'une valeur de la collectivité</t>
  </si>
  <si>
    <t>Il s'agit d'un centre d'intérêt de la plupart des agents mais pas d'une valeur de la collectivité</t>
  </si>
  <si>
    <t>Note</t>
  </si>
  <si>
    <t>Information Technology (Technologies de l'information)</t>
  </si>
  <si>
    <t>N/A</t>
  </si>
  <si>
    <t>Oui, pour l'ensemble des agents ayant des activités permettant de faire du télétravail</t>
  </si>
  <si>
    <t>Oui, mais le résultat n'a pas donné suite à d'autres actions (communication, changement de politique, etc.)</t>
  </si>
  <si>
    <t>Oui, et le résultat de la mesure a été communiquée au sein de la collectivité et prise en considération dans la prise de décision liée au télétravail</t>
  </si>
  <si>
    <t>Oui, sur l'ensemble des acteurs et nous sommes déjà en contact avec certains d'entre eux</t>
  </si>
  <si>
    <t>Oui, utilisé et maitrisé pour effectuer des calculs d'empreinte environnemental de l'IT</t>
  </si>
  <si>
    <t>Des consignes génériques sont définies au niveau NR et suivies seulement au sein de la DSI</t>
  </si>
  <si>
    <t>Sera intégrée dans une des fonctions de la collectivité dans un futur proche</t>
  </si>
  <si>
    <t>Non mais en cours d'identification d'opportunités</t>
  </si>
  <si>
    <t>Oui, les calculs sont déjà basés sur la méthodologie AVC et certains agents maitrisent son utilisation</t>
  </si>
  <si>
    <t>Oui, l'énergie est réutilisée</t>
  </si>
  <si>
    <t>Oui, déjà mis en place pour l'ensemble des équipements numériques</t>
  </si>
  <si>
    <t>Oui, déjà mis en place pour une partie des équipements numériques</t>
  </si>
  <si>
    <t>Oui, le plan d'action est en place pour une partie des  équipements numériques</t>
  </si>
  <si>
    <t>Oui, le plan d'action est en place pour l'ensemble des  équipements numériques</t>
  </si>
  <si>
    <t>Oui, et le poids de ces critères est important (représente &gt;10% par rapport à l'ensemble des critères)</t>
  </si>
  <si>
    <t>Oui, existante et a été communiquée au sein de la collectivité</t>
  </si>
  <si>
    <t>Note (0 à 4, ou N/A)</t>
  </si>
  <si>
    <t>Dès à présent répondre aux obligations réglementaires d'ici 2025</t>
  </si>
  <si>
    <t>Construire une image plus positive de la collectivité auprès des citoyens, au-delà des obligations réglementaires</t>
  </si>
  <si>
    <t>Non, pas de budget dédié au Numérique Responsable</t>
  </si>
  <si>
    <t>Oui, a été publié mais n'a jamais été mis à jour</t>
  </si>
  <si>
    <t>Oui, a été publié et est mis à jour régulièrement</t>
  </si>
  <si>
    <t>N'est pas différencié des autres déchets</t>
  </si>
  <si>
    <t>Les déchets sont gérés par un prestataire ou repris par les fournisseurs et leur gestion n'est pas connue par la collectivité</t>
  </si>
  <si>
    <t>Les déchets sont gérés par un tiers dans le cadre d'une filière de destruction</t>
  </si>
  <si>
    <t>Oui, l'énergie est réutilisée et son taux de réutilisation est optimisé</t>
  </si>
  <si>
    <t>Quelle est votre politique de mise à jour des logiciels internes et externes au sein de votre collectivité ?</t>
  </si>
  <si>
    <t>Les mises à jour ne sont pas réalisées tant que le logiciel fonctionne</t>
  </si>
  <si>
    <t>Les mises à jour sont réalisées de manière opportuniste</t>
  </si>
  <si>
    <t>Les mises à jour sont réalisées sur les logiciels indispensables</t>
  </si>
  <si>
    <t>Les mises à jour sont réalisées systématiquement sur tous les logiciels</t>
  </si>
  <si>
    <t>Non pas à ce stade</t>
  </si>
  <si>
    <t xml:space="preserve">Oui, une stratégie cohérente a été définie </t>
  </si>
  <si>
    <t>Oui, mais aucune réflexion n'a été menée sur le sujet</t>
  </si>
  <si>
    <t>Oui, plusieurs chantiers à horizon moyen et long terme ont été lancés</t>
  </si>
  <si>
    <t>Oui, le processus de certification est en cours</t>
  </si>
  <si>
    <t xml:space="preserve">Oui, nous sommes labellisés </t>
  </si>
  <si>
    <t>Lancer une dynamique numérique responsable au sein de la collectivité</t>
  </si>
  <si>
    <t>Devenir un acteur actif et leader de changement sociétal, au au-delà des obligations réglementaires et des images à renforcer</t>
  </si>
  <si>
    <t>Budget limité et réparti dans différentes directions (DSI, direction de la transition écologique, etc.)</t>
  </si>
  <si>
    <t>Budget important mais réparti dans différentes directions (DSI, direction de la transition écologique, etc.)</t>
  </si>
  <si>
    <t>Budget limité mais dédié au Numérique Responsable</t>
  </si>
  <si>
    <t>Budget important dédié au Numérique Responsable</t>
  </si>
  <si>
    <t>Les déchets sont gérés par un tiers dans le cadre d'une filière de recyclage</t>
  </si>
  <si>
    <t xml:space="preserve">Les déchets sont gérés par un tiers dans le cadre d'une filière de reconditionnement et de recyclage en fonction </t>
  </si>
  <si>
    <t xml:space="preserve">Vers quoi est dirigée la collecte des cartouches / toners des copieurs / imprimantes ? </t>
  </si>
  <si>
    <t>Oui, mais le poids de ces critères n'est pas suffisamment important dans la prise de décision</t>
  </si>
  <si>
    <t>Oui, mais le poids de ces critères n'est pas suffisamment important dans la prise de décision (représente &lt;10% par rapport à l'ensemble des critères)</t>
  </si>
  <si>
    <t>Oui, et le poids de ces critères est important dans la prise de décision</t>
  </si>
  <si>
    <t>Certains équipements sont jetés et remplacés même quand ils sont encore fonctionnels et performants</t>
  </si>
  <si>
    <t xml:space="preserve">Les mises à jour sont systématiques et automatisées dès l'apparition d'une nouvelle version </t>
  </si>
  <si>
    <t>Oui, mais le dispositif actuellement n'est pas suffisamment efficace</t>
  </si>
  <si>
    <t>Oui, quelques initiatives ponctuelles ont été lancées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</si>
</sst>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7" x14ac:knownFonts="1">
    <font>
      <sz val="11"/>
      <color theme="1"/>
      <name val="Calibri"/>
      <family val="2"/>
      <scheme val="minor"/>
    </font>
    <font>
      <b/>
      <sz val="11"/>
      <color theme="1"/>
      <name val="Calibri"/>
      <family val="2"/>
      <scheme val="minor"/>
    </font>
    <font>
      <sz val="11"/>
      <name val="Calibri"/>
      <family val="2"/>
      <scheme val="minor"/>
    </font>
    <font>
      <i/>
      <sz val="11"/>
      <name val="Calibri"/>
      <family val="2"/>
      <scheme val="minor"/>
    </font>
    <font>
      <sz val="8"/>
      <name val="Calibri"/>
      <family val="2"/>
      <scheme val="minor"/>
    </font>
    <font>
      <sz val="9"/>
      <color indexed="81"/>
      <name val="Tahoma"/>
      <family val="2"/>
    </font>
    <font>
      <b/>
      <sz val="9"/>
      <color indexed="81"/>
      <name val="Tahoma"/>
      <family val="2"/>
    </font>
    <font>
      <b/>
      <sz val="11"/>
      <color theme="0"/>
      <name val="Calibri"/>
      <family val="2"/>
      <scheme val="minor"/>
    </font>
    <font>
      <b/>
      <sz val="11"/>
      <name val="Calibri"/>
      <family val="2"/>
      <scheme val="minor"/>
    </font>
    <font>
      <b/>
      <sz val="10"/>
      <color theme="1"/>
      <name val="Calibri"/>
      <family val="2"/>
      <scheme val="minor"/>
    </font>
    <font>
      <b/>
      <sz val="10"/>
      <name val="Calibri"/>
      <family val="2"/>
      <scheme val="minor"/>
    </font>
    <font>
      <b/>
      <sz val="10"/>
      <color theme="0"/>
      <name val="Calibri"/>
      <family val="2"/>
      <scheme val="minor"/>
    </font>
    <font>
      <sz val="10"/>
      <color theme="1"/>
      <name val="Calibri"/>
      <family val="2"/>
      <scheme val="minor"/>
    </font>
    <font>
      <sz val="10"/>
      <name val="Calibri"/>
      <family val="2"/>
      <scheme val="minor"/>
    </font>
    <font>
      <i/>
      <sz val="10"/>
      <name val="Calibri"/>
      <family val="2"/>
      <scheme val="minor"/>
    </font>
    <font>
      <b/>
      <sz val="9"/>
      <name val="Calibri"/>
      <family val="2"/>
      <scheme val="minor"/>
    </font>
    <font>
      <b/>
      <sz val="9"/>
      <color theme="1"/>
      <name val="Calibri"/>
      <family val="2"/>
      <scheme val="minor"/>
    </font>
    <font>
      <sz val="9"/>
      <color theme="1"/>
      <name val="Calibri"/>
      <family val="2"/>
      <scheme val="minor"/>
    </font>
    <font>
      <sz val="10"/>
      <color theme="0"/>
      <name val="Calibri"/>
      <family val="2"/>
      <scheme val="minor"/>
    </font>
    <font>
      <b/>
      <sz val="14"/>
      <color theme="1"/>
      <name val="Calibri"/>
      <family val="2"/>
      <scheme val="minor"/>
    </font>
    <font>
      <sz val="14"/>
      <color theme="1"/>
      <name val="Calibri"/>
      <family val="2"/>
      <scheme val="minor"/>
    </font>
    <font>
      <b/>
      <sz val="12"/>
      <color theme="1"/>
      <name val="Calibri"/>
      <family val="2"/>
      <scheme val="minor"/>
    </font>
    <font>
      <b/>
      <sz val="12"/>
      <name val="Calibri"/>
      <family val="2"/>
      <scheme val="minor"/>
    </font>
    <font>
      <b/>
      <sz val="12"/>
      <color theme="0"/>
      <name val="Calibri"/>
      <family val="2"/>
      <scheme val="minor"/>
    </font>
    <font>
      <b/>
      <sz val="16"/>
      <color theme="0"/>
      <name val="Calibri"/>
      <family val="2"/>
      <scheme val="minor"/>
    </font>
    <font>
      <b/>
      <sz val="14"/>
      <color theme="0"/>
      <name val="Calibri"/>
      <family val="2"/>
      <scheme val="minor"/>
    </font>
    <font>
      <sz val="11"/>
      <color theme="0"/>
      <name val="Calibri"/>
      <family val="2"/>
      <scheme val="minor"/>
    </font>
  </fonts>
  <fills count="20">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9751CB"/>
        <bgColor indexed="64"/>
      </patternFill>
    </fill>
    <fill>
      <patternFill patternType="solid">
        <fgColor rgb="FFE6CDFF"/>
        <bgColor indexed="64"/>
      </patternFill>
    </fill>
    <fill>
      <patternFill patternType="solid">
        <fgColor theme="9" tint="-0.249977111117893"/>
        <bgColor indexed="64"/>
      </patternFill>
    </fill>
    <fill>
      <patternFill patternType="solid">
        <fgColor theme="9"/>
        <bgColor indexed="64"/>
      </patternFill>
    </fill>
    <fill>
      <patternFill patternType="solid">
        <fgColor theme="3"/>
        <bgColor indexed="64"/>
      </patternFill>
    </fill>
    <fill>
      <patternFill patternType="solid">
        <fgColor theme="3" tint="0.79998168889431442"/>
        <bgColor indexed="64"/>
      </patternFill>
    </fill>
    <fill>
      <patternFill patternType="solid">
        <fgColor theme="0" tint="-4.9989318521683403E-2"/>
        <bgColor indexed="64"/>
      </patternFill>
    </fill>
  </fills>
  <borders count="35">
    <border>
      <left/>
      <right/>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diagonal/>
    </border>
    <border>
      <left style="hair">
        <color indexed="64"/>
      </left>
      <right/>
      <top style="hair">
        <color indexed="64"/>
      </top>
      <bottom/>
      <diagonal/>
    </border>
    <border>
      <left style="hair">
        <color indexed="64"/>
      </left>
      <right style="medium">
        <color indexed="64"/>
      </right>
      <top style="hair">
        <color indexed="64"/>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theme="0" tint="-0.14999847407452621"/>
      </left>
      <right style="thin">
        <color theme="0" tint="-0.14999847407452621"/>
      </right>
      <top/>
      <bottom style="thin">
        <color theme="0" tint="-0.14999847407452621"/>
      </bottom>
      <diagonal/>
    </border>
    <border>
      <left/>
      <right/>
      <top style="thin">
        <color theme="0" tint="-0.14999847407452621"/>
      </top>
      <bottom style="thin">
        <color theme="0" tint="-0.14999847407452621"/>
      </bottom>
      <diagonal/>
    </border>
    <border>
      <left style="medium">
        <color indexed="64"/>
      </left>
      <right/>
      <top style="thin">
        <color theme="0" tint="-0.14999847407452621"/>
      </top>
      <bottom style="thin">
        <color theme="0" tint="-0.14999847407452621"/>
      </bottom>
      <diagonal/>
    </border>
    <border>
      <left/>
      <right style="medium">
        <color indexed="64"/>
      </right>
      <top style="thin">
        <color theme="0" tint="-0.14999847407452621"/>
      </top>
      <bottom style="thin">
        <color theme="0" tint="-0.14999847407452621"/>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theme="0" tint="-0.14999847407452621"/>
      </right>
      <top style="thin">
        <color theme="0" tint="-0.14999847407452621"/>
      </top>
      <bottom style="thin">
        <color theme="0" tint="-0.14999847407452621"/>
      </bottom>
      <diagonal/>
    </border>
    <border>
      <left style="medium">
        <color indexed="64"/>
      </left>
      <right style="thin">
        <color theme="0" tint="-0.14999847407452621"/>
      </right>
      <top style="thin">
        <color theme="0" tint="-0.14999847407452621"/>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361">
    <xf numFmtId="0" fontId="0" fillId="0" borderId="0" xfId="0"/>
    <xf numFmtId="0" fontId="0" fillId="0" borderId="5" xfId="0" applyFont="1" applyBorder="1" applyAlignment="1">
      <alignment horizontal="left" wrapText="1"/>
    </xf>
    <xf numFmtId="0" fontId="0" fillId="0" borderId="1" xfId="0" applyFont="1" applyBorder="1" applyAlignment="1">
      <alignment horizontal="left" wrapText="1"/>
    </xf>
    <xf numFmtId="0" fontId="0" fillId="0" borderId="1" xfId="0" applyFont="1" applyBorder="1" applyAlignment="1">
      <alignment horizontal="right" wrapText="1"/>
    </xf>
    <xf numFmtId="0" fontId="0" fillId="0" borderId="7" xfId="0" applyFont="1" applyBorder="1" applyAlignment="1">
      <alignment horizontal="left" wrapText="1"/>
    </xf>
    <xf numFmtId="0" fontId="0" fillId="0" borderId="8" xfId="0" applyFont="1" applyBorder="1" applyAlignment="1">
      <alignment horizontal="left" wrapText="1"/>
    </xf>
    <xf numFmtId="0" fontId="2" fillId="0" borderId="1" xfId="0" applyFont="1" applyBorder="1" applyAlignment="1">
      <alignment horizontal="left" vertical="top" wrapText="1"/>
    </xf>
    <xf numFmtId="0" fontId="2" fillId="0" borderId="1" xfId="0" applyFont="1" applyBorder="1" applyAlignment="1">
      <alignment horizontal="right" vertical="top" wrapText="1"/>
    </xf>
    <xf numFmtId="0" fontId="2" fillId="0" borderId="0" xfId="0" applyFont="1" applyAlignment="1">
      <alignment wrapText="1"/>
    </xf>
    <xf numFmtId="0" fontId="2" fillId="0" borderId="0" xfId="0" applyFont="1" applyAlignment="1">
      <alignment horizontal="right" wrapText="1"/>
    </xf>
    <xf numFmtId="0" fontId="0" fillId="0" borderId="0" xfId="0" applyFont="1" applyAlignment="1">
      <alignment vertical="top" wrapText="1"/>
    </xf>
    <xf numFmtId="0" fontId="0" fillId="0" borderId="0" xfId="0" applyFont="1"/>
    <xf numFmtId="0" fontId="0" fillId="0" borderId="1" xfId="0" applyFont="1" applyBorder="1" applyAlignment="1">
      <alignment horizontal="right" vertical="top" wrapText="1"/>
    </xf>
    <xf numFmtId="0" fontId="0" fillId="0" borderId="1" xfId="0" applyFont="1" applyBorder="1" applyAlignment="1">
      <alignment vertical="top" wrapText="1"/>
    </xf>
    <xf numFmtId="0" fontId="0" fillId="0" borderId="1" xfId="0" applyFont="1" applyFill="1" applyBorder="1" applyAlignment="1">
      <alignment vertical="top" wrapText="1"/>
    </xf>
    <xf numFmtId="0" fontId="0" fillId="0" borderId="0" xfId="0" applyFont="1" applyAlignment="1">
      <alignment horizontal="right" vertical="top" wrapText="1"/>
    </xf>
    <xf numFmtId="0" fontId="0" fillId="0" borderId="0" xfId="0" applyFont="1" applyAlignment="1">
      <alignment horizontal="left" wrapText="1"/>
    </xf>
    <xf numFmtId="0" fontId="0" fillId="0" borderId="9" xfId="0" applyFont="1" applyBorder="1" applyAlignment="1">
      <alignment horizontal="left" wrapText="1"/>
    </xf>
    <xf numFmtId="0" fontId="0" fillId="0" borderId="6" xfId="0" applyFont="1" applyBorder="1" applyAlignment="1">
      <alignment horizontal="left" wrapText="1"/>
    </xf>
    <xf numFmtId="0" fontId="0" fillId="0" borderId="0" xfId="0" applyFont="1" applyAlignment="1">
      <alignment horizontal="right" wrapText="1"/>
    </xf>
    <xf numFmtId="0" fontId="0" fillId="0" borderId="0" xfId="0" applyFont="1" applyAlignment="1">
      <alignment horizontal="left" vertical="top" wrapText="1"/>
    </xf>
    <xf numFmtId="0" fontId="0" fillId="0" borderId="0" xfId="0" applyFont="1" applyAlignment="1"/>
    <xf numFmtId="0" fontId="0" fillId="0" borderId="0" xfId="0" applyFont="1" applyAlignment="1">
      <alignment vertical="top"/>
    </xf>
    <xf numFmtId="0" fontId="0" fillId="0" borderId="1" xfId="0" applyFont="1" applyFill="1" applyBorder="1" applyAlignment="1">
      <alignment vertical="top"/>
    </xf>
    <xf numFmtId="0" fontId="0" fillId="0" borderId="0" xfId="0" applyFont="1" applyAlignment="1">
      <alignment horizontal="center" vertical="top" wrapText="1"/>
    </xf>
    <xf numFmtId="0" fontId="0" fillId="0" borderId="0" xfId="0" applyFont="1" applyBorder="1" applyAlignment="1">
      <alignment vertical="top" wrapText="1"/>
    </xf>
    <xf numFmtId="0" fontId="0" fillId="0" borderId="0" xfId="0" applyFont="1" applyBorder="1" applyAlignment="1">
      <alignment horizontal="right" vertical="top" wrapText="1"/>
    </xf>
    <xf numFmtId="0" fontId="2" fillId="0" borderId="1" xfId="0" applyFont="1" applyFill="1" applyBorder="1" applyAlignment="1">
      <alignment horizontal="left" wrapText="1"/>
    </xf>
    <xf numFmtId="0" fontId="0" fillId="4" borderId="1" xfId="0" applyFont="1" applyFill="1" applyBorder="1" applyAlignment="1">
      <alignment horizontal="left" wrapText="1"/>
    </xf>
    <xf numFmtId="0" fontId="2" fillId="4" borderId="1" xfId="0" applyFont="1" applyFill="1" applyBorder="1" applyAlignment="1">
      <alignment wrapText="1"/>
    </xf>
    <xf numFmtId="0" fontId="2" fillId="4" borderId="1" xfId="0" applyFont="1" applyFill="1" applyBorder="1" applyAlignment="1">
      <alignment horizontal="left" vertical="top" wrapText="1"/>
    </xf>
    <xf numFmtId="0" fontId="0" fillId="3" borderId="1" xfId="0" applyFont="1" applyFill="1" applyBorder="1" applyAlignment="1">
      <alignment horizontal="left" wrapText="1"/>
    </xf>
    <xf numFmtId="0" fontId="0" fillId="0" borderId="11" xfId="0" applyFont="1" applyBorder="1" applyAlignment="1">
      <alignment horizontal="right" vertical="top" wrapText="1"/>
    </xf>
    <xf numFmtId="0" fontId="0" fillId="3" borderId="11" xfId="0" applyFont="1" applyFill="1" applyBorder="1" applyAlignment="1">
      <alignment horizontal="right" vertical="top" wrapText="1"/>
    </xf>
    <xf numFmtId="0" fontId="0" fillId="0" borderId="0" xfId="0" applyFont="1" applyBorder="1" applyAlignment="1">
      <alignment horizontal="left" vertical="top" wrapText="1"/>
    </xf>
    <xf numFmtId="0" fontId="2" fillId="3" borderId="5" xfId="0" applyFont="1" applyFill="1" applyBorder="1" applyAlignment="1">
      <alignment vertical="top" wrapText="1"/>
    </xf>
    <xf numFmtId="0" fontId="2" fillId="3" borderId="1" xfId="0" applyFont="1" applyFill="1" applyBorder="1" applyAlignment="1">
      <alignment vertical="top" wrapText="1"/>
    </xf>
    <xf numFmtId="0" fontId="2" fillId="3" borderId="1" xfId="0" applyFont="1" applyFill="1" applyBorder="1" applyAlignment="1">
      <alignment horizontal="right" vertical="top" wrapText="1"/>
    </xf>
    <xf numFmtId="0" fontId="2" fillId="3" borderId="11" xfId="0" applyFont="1" applyFill="1" applyBorder="1" applyAlignment="1">
      <alignment horizontal="right" vertical="top" wrapText="1"/>
    </xf>
    <xf numFmtId="0" fontId="2" fillId="3" borderId="6" xfId="0" applyFont="1" applyFill="1" applyBorder="1" applyAlignment="1">
      <alignment vertical="top" wrapText="1"/>
    </xf>
    <xf numFmtId="0" fontId="0" fillId="0" borderId="0" xfId="0" applyFont="1" applyFill="1" applyBorder="1" applyAlignment="1">
      <alignment vertical="top" wrapText="1"/>
    </xf>
    <xf numFmtId="0" fontId="0" fillId="0" borderId="0" xfId="0" applyBorder="1"/>
    <xf numFmtId="0" fontId="0" fillId="0" borderId="0" xfId="0" applyFont="1" applyBorder="1"/>
    <xf numFmtId="0" fontId="1" fillId="0" borderId="0" xfId="0" applyFont="1" applyBorder="1" applyAlignment="1">
      <alignment vertical="top" wrapText="1"/>
    </xf>
    <xf numFmtId="0" fontId="1" fillId="0" borderId="0" xfId="0" applyFont="1" applyBorder="1" applyAlignment="1">
      <alignment horizontal="center" vertical="top" wrapText="1"/>
    </xf>
    <xf numFmtId="0" fontId="1" fillId="0" borderId="0" xfId="0" applyFont="1" applyBorder="1" applyAlignment="1">
      <alignment horizontal="left" vertical="top" wrapText="1"/>
    </xf>
    <xf numFmtId="0" fontId="1" fillId="0" borderId="0" xfId="0" applyFont="1" applyBorder="1" applyAlignment="1">
      <alignment horizontal="center" vertical="center" wrapText="1"/>
    </xf>
    <xf numFmtId="0" fontId="0" fillId="0" borderId="1" xfId="0" applyFont="1" applyFill="1" applyBorder="1" applyAlignment="1">
      <alignment horizontal="left" wrapText="1"/>
    </xf>
    <xf numFmtId="0" fontId="0" fillId="6" borderId="1" xfId="0" applyFont="1" applyFill="1" applyBorder="1" applyAlignment="1">
      <alignment horizontal="left" wrapText="1"/>
    </xf>
    <xf numFmtId="0" fontId="1" fillId="0" borderId="0" xfId="0" applyFont="1" applyFill="1" applyBorder="1" applyAlignment="1">
      <alignment horizontal="center" vertical="center" wrapText="1"/>
    </xf>
    <xf numFmtId="0" fontId="0" fillId="3" borderId="1" xfId="0" applyFont="1" applyFill="1" applyBorder="1" applyAlignment="1">
      <alignment horizontal="right" wrapText="1"/>
    </xf>
    <xf numFmtId="0" fontId="0" fillId="3" borderId="10" xfId="0" applyFont="1" applyFill="1" applyBorder="1" applyAlignment="1">
      <alignment horizontal="right" wrapText="1"/>
    </xf>
    <xf numFmtId="0" fontId="0" fillId="0" borderId="16" xfId="0" applyFont="1" applyBorder="1" applyAlignment="1">
      <alignment horizontal="right" wrapText="1"/>
    </xf>
    <xf numFmtId="0" fontId="0" fillId="0" borderId="1" xfId="0" applyBorder="1"/>
    <xf numFmtId="0" fontId="0" fillId="0" borderId="1" xfId="0" applyFont="1" applyFill="1" applyBorder="1" applyAlignment="1">
      <alignment wrapText="1"/>
    </xf>
    <xf numFmtId="0" fontId="2" fillId="3" borderId="1" xfId="0" applyFont="1" applyFill="1" applyBorder="1" applyAlignment="1">
      <alignment horizontal="left" vertical="top" wrapText="1"/>
    </xf>
    <xf numFmtId="0" fontId="2" fillId="0" borderId="1" xfId="0" applyFont="1" applyFill="1" applyBorder="1" applyAlignment="1">
      <alignment vertical="top" wrapText="1"/>
    </xf>
    <xf numFmtId="0" fontId="2" fillId="4" borderId="11" xfId="0" applyFont="1" applyFill="1" applyBorder="1" applyAlignment="1">
      <alignment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2" fillId="4" borderId="5" xfId="0" applyFont="1" applyFill="1" applyBorder="1" applyAlignment="1">
      <alignment wrapText="1"/>
    </xf>
    <xf numFmtId="0" fontId="2" fillId="4" borderId="6" xfId="0" applyFont="1" applyFill="1" applyBorder="1" applyAlignment="1">
      <alignment wrapText="1"/>
    </xf>
    <xf numFmtId="0" fontId="2" fillId="4" borderId="7" xfId="0" applyFont="1" applyFill="1" applyBorder="1" applyAlignment="1">
      <alignment wrapText="1"/>
    </xf>
    <xf numFmtId="0" fontId="2" fillId="4" borderId="8" xfId="0" applyFont="1" applyFill="1" applyBorder="1" applyAlignment="1">
      <alignment wrapText="1"/>
    </xf>
    <xf numFmtId="0" fontId="2" fillId="4" borderId="9" xfId="0" applyFont="1" applyFill="1" applyBorder="1" applyAlignment="1">
      <alignment wrapText="1"/>
    </xf>
    <xf numFmtId="0" fontId="0" fillId="4" borderId="11" xfId="0" applyFont="1" applyFill="1" applyBorder="1" applyAlignment="1">
      <alignment horizontal="right" vertical="top" wrapText="1"/>
    </xf>
    <xf numFmtId="0" fontId="0" fillId="0" borderId="11" xfId="0" applyFont="1" applyBorder="1" applyAlignment="1">
      <alignment vertical="top" wrapText="1"/>
    </xf>
    <xf numFmtId="0" fontId="0" fillId="0" borderId="11" xfId="0" applyFont="1" applyBorder="1" applyAlignment="1">
      <alignment horizontal="right" wrapText="1"/>
    </xf>
    <xf numFmtId="0" fontId="0" fillId="3" borderId="11" xfId="0" applyFont="1" applyFill="1" applyBorder="1" applyAlignment="1">
      <alignment horizontal="right" wrapText="1"/>
    </xf>
    <xf numFmtId="0" fontId="0" fillId="3" borderId="13" xfId="0" applyFont="1" applyFill="1" applyBorder="1" applyAlignment="1">
      <alignment horizontal="right" wrapText="1"/>
    </xf>
    <xf numFmtId="0" fontId="0" fillId="0" borderId="11" xfId="0" applyBorder="1"/>
    <xf numFmtId="0" fontId="0" fillId="0" borderId="18" xfId="0" applyFont="1" applyBorder="1" applyAlignment="1">
      <alignment horizontal="right" wrapText="1"/>
    </xf>
    <xf numFmtId="0" fontId="0" fillId="6" borderId="6" xfId="0" applyFont="1" applyFill="1" applyBorder="1" applyAlignment="1">
      <alignment horizontal="left" wrapText="1"/>
    </xf>
    <xf numFmtId="0" fontId="0" fillId="6" borderId="5" xfId="0" applyFont="1" applyFill="1" applyBorder="1" applyAlignment="1">
      <alignment horizontal="left" wrapText="1"/>
    </xf>
    <xf numFmtId="0" fontId="0" fillId="3" borderId="6" xfId="0" applyFont="1" applyFill="1" applyBorder="1" applyAlignment="1">
      <alignment horizontal="left" wrapText="1"/>
    </xf>
    <xf numFmtId="0" fontId="0" fillId="0" borderId="0" xfId="0" applyFill="1" applyBorder="1"/>
    <xf numFmtId="0" fontId="1" fillId="0" borderId="1" xfId="0" applyFont="1" applyFill="1" applyBorder="1" applyAlignment="1">
      <alignment vertical="top"/>
    </xf>
    <xf numFmtId="0" fontId="1" fillId="0" borderId="1" xfId="0" applyFont="1" applyBorder="1" applyAlignment="1">
      <alignment vertical="top" wrapText="1"/>
    </xf>
    <xf numFmtId="0" fontId="0" fillId="3" borderId="11" xfId="0" applyFont="1" applyFill="1" applyBorder="1" applyAlignment="1">
      <alignment vertical="top" wrapText="1"/>
    </xf>
    <xf numFmtId="0" fontId="2" fillId="3" borderId="1" xfId="0" applyFont="1" applyFill="1" applyBorder="1" applyAlignment="1">
      <alignment wrapText="1"/>
    </xf>
    <xf numFmtId="0" fontId="2" fillId="3" borderId="11" xfId="0" applyFont="1" applyFill="1" applyBorder="1" applyAlignment="1">
      <alignment wrapText="1"/>
    </xf>
    <xf numFmtId="0" fontId="2" fillId="3" borderId="5" xfId="0" applyFont="1" applyFill="1" applyBorder="1" applyAlignment="1">
      <alignment wrapText="1"/>
    </xf>
    <xf numFmtId="0" fontId="2" fillId="3" borderId="6" xfId="0" applyFont="1" applyFill="1" applyBorder="1" applyAlignment="1">
      <alignment wrapText="1"/>
    </xf>
    <xf numFmtId="0" fontId="0" fillId="3" borderId="5" xfId="0" applyFont="1" applyFill="1" applyBorder="1" applyAlignment="1">
      <alignment horizontal="left" wrapText="1"/>
    </xf>
    <xf numFmtId="0" fontId="0" fillId="0" borderId="10" xfId="0" applyFont="1" applyBorder="1" applyAlignment="1">
      <alignment horizontal="left" wrapText="1"/>
    </xf>
    <xf numFmtId="0" fontId="0" fillId="0" borderId="11" xfId="0" applyFont="1" applyFill="1" applyBorder="1" applyAlignment="1">
      <alignment horizontal="left" wrapText="1"/>
    </xf>
    <xf numFmtId="0" fontId="0" fillId="0" borderId="12" xfId="0" applyFont="1" applyBorder="1" applyAlignment="1">
      <alignment horizontal="left" wrapText="1"/>
    </xf>
    <xf numFmtId="0" fontId="0" fillId="0" borderId="14" xfId="0" applyFont="1" applyBorder="1" applyAlignment="1">
      <alignment horizontal="left" wrapText="1"/>
    </xf>
    <xf numFmtId="0" fontId="2" fillId="4" borderId="1" xfId="0" applyFont="1" applyFill="1" applyBorder="1" applyAlignment="1">
      <alignment vertical="top" wrapText="1"/>
    </xf>
    <xf numFmtId="0" fontId="0" fillId="0" borderId="10" xfId="0" applyFont="1" applyFill="1" applyBorder="1" applyAlignment="1">
      <alignment vertical="top"/>
    </xf>
    <xf numFmtId="0" fontId="0" fillId="0" borderId="1" xfId="0" applyFont="1" applyFill="1" applyBorder="1" applyAlignment="1">
      <alignment horizontal="left" vertical="top" wrapText="1"/>
    </xf>
    <xf numFmtId="0" fontId="2" fillId="0" borderId="5" xfId="0" applyFont="1" applyFill="1" applyBorder="1" applyAlignment="1">
      <alignment vertical="top" wrapText="1"/>
    </xf>
    <xf numFmtId="0" fontId="2" fillId="0" borderId="6" xfId="0" applyFont="1" applyFill="1" applyBorder="1" applyAlignment="1">
      <alignment vertical="top" wrapText="1"/>
    </xf>
    <xf numFmtId="0" fontId="2" fillId="0" borderId="5" xfId="0" applyFont="1" applyBorder="1" applyAlignment="1">
      <alignment vertical="top" wrapText="1"/>
    </xf>
    <xf numFmtId="0" fontId="2" fillId="0" borderId="1" xfId="0" applyFont="1" applyBorder="1" applyAlignment="1">
      <alignment vertical="top" wrapText="1"/>
    </xf>
    <xf numFmtId="0" fontId="2" fillId="0" borderId="6" xfId="0" applyFont="1" applyBorder="1" applyAlignment="1">
      <alignment vertical="top" wrapText="1"/>
    </xf>
    <xf numFmtId="0" fontId="1" fillId="7" borderId="1" xfId="0" applyFont="1" applyFill="1" applyBorder="1" applyAlignment="1">
      <alignment horizontal="center" vertical="top" wrapText="1"/>
    </xf>
    <xf numFmtId="0" fontId="1" fillId="8" borderId="1" xfId="0" applyFont="1" applyFill="1" applyBorder="1" applyAlignment="1">
      <alignment horizontal="center" vertical="top" wrapText="1"/>
    </xf>
    <xf numFmtId="0" fontId="7" fillId="9" borderId="1" xfId="0" applyFont="1" applyFill="1" applyBorder="1" applyAlignment="1">
      <alignment horizontal="center" vertical="top" wrapText="1"/>
    </xf>
    <xf numFmtId="0" fontId="8" fillId="0" borderId="22" xfId="0" applyFont="1" applyBorder="1" applyAlignment="1">
      <alignment horizontal="center" vertical="center" wrapText="1"/>
    </xf>
    <xf numFmtId="0" fontId="8" fillId="0" borderId="0" xfId="0" applyFont="1" applyBorder="1" applyAlignment="1">
      <alignment horizontal="center" vertical="center" wrapText="1"/>
    </xf>
    <xf numFmtId="0" fontId="8" fillId="0" borderId="23" xfId="0" applyFont="1" applyBorder="1" applyAlignment="1">
      <alignment horizontal="center" vertical="center" wrapText="1"/>
    </xf>
    <xf numFmtId="0" fontId="2" fillId="3" borderId="7" xfId="0" applyFont="1" applyFill="1" applyBorder="1" applyAlignment="1">
      <alignment vertical="top" wrapText="1"/>
    </xf>
    <xf numFmtId="0" fontId="2" fillId="3" borderId="8" xfId="0" applyFont="1" applyFill="1" applyBorder="1" applyAlignment="1">
      <alignment vertical="top" wrapText="1"/>
    </xf>
    <xf numFmtId="0" fontId="2" fillId="3" borderId="9" xfId="0" applyFont="1" applyFill="1" applyBorder="1" applyAlignment="1">
      <alignment vertical="top" wrapText="1"/>
    </xf>
    <xf numFmtId="0" fontId="2" fillId="0" borderId="0" xfId="0" applyFont="1" applyBorder="1" applyAlignment="1">
      <alignment vertical="top" wrapText="1"/>
    </xf>
    <xf numFmtId="0" fontId="8" fillId="0" borderId="0" xfId="0" applyFont="1" applyBorder="1" applyAlignment="1">
      <alignment horizontal="center" vertical="top" wrapText="1"/>
    </xf>
    <xf numFmtId="0" fontId="8" fillId="0" borderId="0" xfId="0" applyFont="1" applyBorder="1" applyAlignment="1">
      <alignment horizontal="left" vertical="top" wrapText="1"/>
    </xf>
    <xf numFmtId="0" fontId="8" fillId="0" borderId="1" xfId="0" applyFont="1" applyBorder="1" applyAlignment="1">
      <alignment horizontal="left" vertical="top" wrapText="1"/>
    </xf>
    <xf numFmtId="0" fontId="2" fillId="4" borderId="1" xfId="0" applyFont="1" applyFill="1" applyBorder="1" applyAlignment="1">
      <alignment horizontal="right" vertical="top" wrapText="1"/>
    </xf>
    <xf numFmtId="0" fontId="2" fillId="0" borderId="0" xfId="0" applyFont="1" applyBorder="1" applyAlignment="1">
      <alignment horizontal="right" vertical="top" wrapText="1"/>
    </xf>
    <xf numFmtId="0" fontId="7" fillId="7" borderId="1" xfId="0" applyFont="1" applyFill="1" applyBorder="1" applyAlignment="1">
      <alignment horizontal="center" vertical="top" wrapText="1"/>
    </xf>
    <xf numFmtId="0" fontId="8" fillId="8" borderId="1" xfId="0" applyFont="1" applyFill="1" applyBorder="1" applyAlignment="1">
      <alignment horizontal="center" vertical="top" wrapText="1"/>
    </xf>
    <xf numFmtId="0" fontId="8" fillId="9" borderId="1" xfId="0" applyFont="1" applyFill="1" applyBorder="1" applyAlignment="1">
      <alignment horizontal="center" vertical="top" wrapText="1"/>
    </xf>
    <xf numFmtId="0" fontId="7" fillId="8" borderId="1" xfId="0" applyFont="1" applyFill="1" applyBorder="1" applyAlignment="1">
      <alignment horizontal="center" vertical="top" wrapText="1"/>
    </xf>
    <xf numFmtId="0" fontId="0" fillId="0" borderId="0" xfId="0" applyFont="1" applyBorder="1" applyAlignment="1">
      <alignment horizontal="center" vertical="top" wrapText="1"/>
    </xf>
    <xf numFmtId="0" fontId="7" fillId="0" borderId="0" xfId="0" applyFont="1" applyBorder="1" applyAlignment="1">
      <alignment horizontal="center" vertical="top" wrapText="1"/>
    </xf>
    <xf numFmtId="0" fontId="0" fillId="0" borderId="10" xfId="0" applyFont="1" applyFill="1" applyBorder="1" applyAlignment="1">
      <alignment wrapText="1"/>
    </xf>
    <xf numFmtId="0" fontId="0" fillId="0" borderId="16" xfId="0" applyFont="1" applyFill="1" applyBorder="1" applyAlignment="1">
      <alignment wrapText="1"/>
    </xf>
    <xf numFmtId="0" fontId="0" fillId="0" borderId="0" xfId="0" applyFont="1" applyFill="1" applyAlignment="1">
      <alignment horizontal="center" wrapText="1"/>
    </xf>
    <xf numFmtId="0" fontId="0" fillId="0" borderId="0" xfId="0" applyFont="1" applyFill="1" applyAlignment="1">
      <alignment horizontal="left" wrapText="1"/>
    </xf>
    <xf numFmtId="0" fontId="2" fillId="4" borderId="1" xfId="0" applyFont="1" applyFill="1" applyBorder="1" applyAlignment="1">
      <alignment horizontal="left" wrapText="1"/>
    </xf>
    <xf numFmtId="0" fontId="2" fillId="0" borderId="1" xfId="0" applyFont="1" applyBorder="1" applyAlignment="1">
      <alignment horizontal="left" wrapText="1"/>
    </xf>
    <xf numFmtId="0" fontId="2" fillId="3" borderId="1" xfId="0" applyFont="1" applyFill="1" applyBorder="1" applyAlignment="1">
      <alignment horizontal="left" wrapText="1"/>
    </xf>
    <xf numFmtId="0" fontId="2" fillId="0" borderId="1" xfId="0" applyFont="1" applyBorder="1" applyAlignment="1">
      <alignment wrapText="1"/>
    </xf>
    <xf numFmtId="0" fontId="2" fillId="3" borderId="10" xfId="0" applyFont="1" applyFill="1" applyBorder="1" applyAlignment="1">
      <alignment wrapText="1"/>
    </xf>
    <xf numFmtId="0" fontId="2" fillId="0" borderId="1" xfId="0" applyFont="1" applyFill="1" applyBorder="1" applyAlignment="1">
      <alignment wrapText="1"/>
    </xf>
    <xf numFmtId="0" fontId="2" fillId="0" borderId="1" xfId="0" applyFont="1" applyFill="1" applyBorder="1" applyAlignment="1">
      <alignment vertical="top"/>
    </xf>
    <xf numFmtId="0" fontId="2" fillId="0" borderId="0" xfId="0" applyFont="1" applyAlignment="1">
      <alignment horizontal="left" wrapText="1"/>
    </xf>
    <xf numFmtId="0" fontId="2" fillId="6" borderId="5" xfId="0" applyFont="1" applyFill="1" applyBorder="1" applyAlignment="1">
      <alignment horizontal="center" vertical="top" wrapText="1"/>
    </xf>
    <xf numFmtId="0" fontId="2" fillId="6" borderId="1" xfId="0" applyFont="1" applyFill="1" applyBorder="1" applyAlignment="1">
      <alignment horizontal="left" wrapText="1"/>
    </xf>
    <xf numFmtId="0" fontId="2" fillId="6" borderId="6" xfId="0" applyFont="1" applyFill="1" applyBorder="1" applyAlignment="1">
      <alignment horizontal="left" wrapText="1"/>
    </xf>
    <xf numFmtId="0" fontId="2" fillId="6" borderId="5" xfId="0" applyFont="1" applyFill="1" applyBorder="1" applyAlignment="1">
      <alignment horizontal="left" wrapText="1"/>
    </xf>
    <xf numFmtId="0" fontId="2" fillId="0" borderId="5" xfId="0" applyFont="1" applyFill="1" applyBorder="1" applyAlignment="1">
      <alignment horizontal="left" wrapText="1"/>
    </xf>
    <xf numFmtId="0" fontId="2" fillId="0" borderId="6" xfId="0" applyFont="1" applyFill="1" applyBorder="1" applyAlignment="1">
      <alignment horizontal="left" wrapText="1"/>
    </xf>
    <xf numFmtId="0" fontId="2" fillId="3" borderId="5" xfId="0" applyFont="1" applyFill="1" applyBorder="1" applyAlignment="1">
      <alignment horizontal="left" wrapText="1"/>
    </xf>
    <xf numFmtId="0" fontId="2" fillId="3" borderId="6" xfId="0" applyFont="1" applyFill="1" applyBorder="1" applyAlignment="1">
      <alignment horizontal="left" wrapText="1"/>
    </xf>
    <xf numFmtId="0" fontId="2" fillId="0" borderId="5" xfId="0" applyFont="1" applyBorder="1" applyAlignment="1">
      <alignment horizontal="center" vertical="top" wrapText="1"/>
    </xf>
    <xf numFmtId="0" fontId="2" fillId="0" borderId="6" xfId="0" applyFont="1" applyBorder="1" applyAlignment="1">
      <alignment horizontal="left" wrapText="1"/>
    </xf>
    <xf numFmtId="0" fontId="3" fillId="3" borderId="5" xfId="0" applyFont="1" applyFill="1" applyBorder="1" applyAlignment="1">
      <alignment horizontal="center" vertical="top" wrapText="1"/>
    </xf>
    <xf numFmtId="0" fontId="2" fillId="3" borderId="5" xfId="0" applyFont="1" applyFill="1" applyBorder="1" applyAlignment="1">
      <alignment horizontal="center" vertical="top" wrapText="1"/>
    </xf>
    <xf numFmtId="0" fontId="2" fillId="0" borderId="5" xfId="0" applyFont="1" applyBorder="1" applyAlignment="1">
      <alignment horizontal="center" vertical="center" wrapText="1"/>
    </xf>
    <xf numFmtId="0" fontId="2" fillId="0" borderId="1" xfId="0" applyFont="1" applyBorder="1" applyAlignment="1">
      <alignment horizontal="left" vertical="center" wrapText="1"/>
    </xf>
    <xf numFmtId="0" fontId="2" fillId="0" borderId="6" xfId="0" applyFont="1" applyBorder="1" applyAlignment="1">
      <alignment horizontal="left" vertical="center" wrapText="1"/>
    </xf>
    <xf numFmtId="0" fontId="3" fillId="3" borderId="12" xfId="0" applyFont="1" applyFill="1" applyBorder="1" applyAlignment="1">
      <alignment horizontal="center" vertical="center" wrapText="1"/>
    </xf>
    <xf numFmtId="0" fontId="2" fillId="3" borderId="0" xfId="0" applyFont="1" applyFill="1" applyBorder="1" applyAlignment="1">
      <alignment horizontal="left" vertical="center" wrapText="1"/>
    </xf>
    <xf numFmtId="0" fontId="2" fillId="3" borderId="10" xfId="0" applyFont="1" applyFill="1" applyBorder="1" applyAlignment="1">
      <alignment horizontal="left" vertical="center" wrapText="1"/>
    </xf>
    <xf numFmtId="0" fontId="2" fillId="3" borderId="14"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6" xfId="0" applyFont="1" applyFill="1" applyBorder="1" applyAlignment="1">
      <alignment horizontal="left" vertical="center" wrapText="1"/>
    </xf>
    <xf numFmtId="0" fontId="2" fillId="0" borderId="15" xfId="0" applyFont="1" applyBorder="1" applyAlignment="1">
      <alignment horizontal="center" vertical="top" wrapText="1"/>
    </xf>
    <xf numFmtId="0" fontId="2" fillId="0" borderId="0" xfId="0" applyFont="1" applyBorder="1" applyAlignment="1">
      <alignment horizontal="left" wrapText="1"/>
    </xf>
    <xf numFmtId="0" fontId="2" fillId="0" borderId="16" xfId="0" applyFont="1" applyBorder="1" applyAlignment="1">
      <alignment horizontal="left" wrapText="1"/>
    </xf>
    <xf numFmtId="0" fontId="2" fillId="0" borderId="17" xfId="0" applyFont="1" applyBorder="1" applyAlignment="1">
      <alignment horizontal="left" wrapText="1"/>
    </xf>
    <xf numFmtId="0" fontId="2" fillId="0" borderId="7" xfId="0" applyFont="1" applyBorder="1" applyAlignment="1">
      <alignment horizontal="center" wrapText="1"/>
    </xf>
    <xf numFmtId="0" fontId="2" fillId="0" borderId="8" xfId="0" applyFont="1" applyBorder="1" applyAlignment="1">
      <alignment horizontal="left" wrapText="1"/>
    </xf>
    <xf numFmtId="0" fontId="2" fillId="0" borderId="9" xfId="0" applyFont="1" applyBorder="1" applyAlignment="1">
      <alignment horizontal="left" wrapText="1"/>
    </xf>
    <xf numFmtId="0" fontId="2" fillId="0" borderId="0" xfId="0" applyFont="1" applyAlignment="1">
      <alignment horizontal="center" wrapText="1"/>
    </xf>
    <xf numFmtId="0" fontId="1" fillId="7" borderId="1" xfId="0" applyFont="1" applyFill="1" applyBorder="1" applyAlignment="1">
      <alignment vertical="top" wrapText="1"/>
    </xf>
    <xf numFmtId="0" fontId="7" fillId="8" borderId="1" xfId="0" applyFont="1" applyFill="1" applyBorder="1" applyAlignment="1">
      <alignment vertical="top" wrapText="1"/>
    </xf>
    <xf numFmtId="0" fontId="7" fillId="7" borderId="1" xfId="0" applyFont="1" applyFill="1" applyBorder="1" applyAlignment="1">
      <alignment vertical="top" wrapText="1"/>
    </xf>
    <xf numFmtId="0" fontId="1" fillId="8" borderId="1" xfId="0" applyFont="1" applyFill="1" applyBorder="1" applyAlignment="1">
      <alignment vertical="top" wrapText="1"/>
    </xf>
    <xf numFmtId="0" fontId="2" fillId="0" borderId="16" xfId="0" applyFont="1" applyFill="1" applyBorder="1" applyAlignment="1">
      <alignment wrapText="1"/>
    </xf>
    <xf numFmtId="0" fontId="1" fillId="7" borderId="1" xfId="0" applyFont="1" applyFill="1" applyBorder="1" applyAlignment="1">
      <alignment horizontal="left" vertical="top" wrapText="1" indent="1"/>
    </xf>
    <xf numFmtId="0" fontId="7" fillId="8" borderId="1" xfId="0" applyFont="1" applyFill="1" applyBorder="1" applyAlignment="1">
      <alignment horizontal="left" vertical="top" wrapText="1" indent="1"/>
    </xf>
    <xf numFmtId="0" fontId="7" fillId="7" borderId="1" xfId="0" applyFont="1" applyFill="1" applyBorder="1" applyAlignment="1">
      <alignment horizontal="left" vertical="top" wrapText="1" indent="1"/>
    </xf>
    <xf numFmtId="0" fontId="8" fillId="8" borderId="1" xfId="0" applyFont="1" applyFill="1" applyBorder="1" applyAlignment="1">
      <alignment horizontal="left" vertical="top" wrapText="1" indent="1"/>
    </xf>
    <xf numFmtId="0" fontId="8" fillId="9" borderId="1" xfId="0" applyFont="1" applyFill="1" applyBorder="1" applyAlignment="1">
      <alignment horizontal="left" vertical="top" wrapText="1" indent="1"/>
    </xf>
    <xf numFmtId="0" fontId="1" fillId="8" borderId="1" xfId="0" applyFont="1" applyFill="1" applyBorder="1" applyAlignment="1">
      <alignment horizontal="left" vertical="top" wrapText="1" indent="1"/>
    </xf>
    <xf numFmtId="0" fontId="2" fillId="0" borderId="1" xfId="0" applyFont="1" applyFill="1" applyBorder="1" applyAlignment="1">
      <alignment horizontal="left" vertical="top" wrapText="1"/>
    </xf>
    <xf numFmtId="0" fontId="8" fillId="7" borderId="1" xfId="0" applyFont="1" applyFill="1" applyBorder="1" applyAlignment="1">
      <alignment horizontal="center" vertical="top" wrapText="1"/>
    </xf>
    <xf numFmtId="0" fontId="8" fillId="0" borderId="1" xfId="0" applyFont="1" applyBorder="1" applyAlignment="1">
      <alignment horizontal="center" vertical="top" wrapText="1"/>
    </xf>
    <xf numFmtId="0" fontId="8" fillId="0" borderId="11" xfId="0" applyFont="1" applyBorder="1" applyAlignment="1">
      <alignment vertical="top" wrapText="1"/>
    </xf>
    <xf numFmtId="0" fontId="8" fillId="0" borderId="5" xfId="0" applyFont="1" applyBorder="1" applyAlignment="1">
      <alignment horizontal="center" vertical="center" wrapText="1"/>
    </xf>
    <xf numFmtId="0" fontId="8" fillId="0" borderId="1" xfId="0" applyFont="1" applyBorder="1" applyAlignment="1">
      <alignment horizontal="center" vertical="center" wrapText="1"/>
    </xf>
    <xf numFmtId="0" fontId="8" fillId="0" borderId="6" xfId="0" applyFont="1" applyBorder="1" applyAlignment="1">
      <alignment horizontal="center" vertical="center"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11" xfId="0" applyFont="1" applyBorder="1" applyAlignment="1">
      <alignment horizontal="right" vertical="top" wrapText="1"/>
    </xf>
    <xf numFmtId="0" fontId="2" fillId="0" borderId="11" xfId="0" applyFont="1" applyBorder="1" applyAlignment="1">
      <alignment horizontal="left" vertical="top" wrapText="1"/>
    </xf>
    <xf numFmtId="0" fontId="2" fillId="3" borderId="11"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6" xfId="0" applyFont="1" applyFill="1" applyBorder="1" applyAlignment="1">
      <alignment horizontal="left" vertical="top" wrapText="1"/>
    </xf>
    <xf numFmtId="0" fontId="2" fillId="0" borderId="11" xfId="0" applyFont="1" applyBorder="1" applyAlignment="1">
      <alignment vertical="top" wrapText="1"/>
    </xf>
    <xf numFmtId="0" fontId="2" fillId="0" borderId="5" xfId="0" applyFont="1" applyBorder="1" applyAlignment="1">
      <alignment horizontal="left" wrapText="1"/>
    </xf>
    <xf numFmtId="0" fontId="2" fillId="3" borderId="7" xfId="0" applyFont="1" applyFill="1" applyBorder="1" applyAlignment="1">
      <alignment horizontal="left" vertical="top" wrapText="1"/>
    </xf>
    <xf numFmtId="0" fontId="2" fillId="3" borderId="8" xfId="0" applyFont="1" applyFill="1" applyBorder="1" applyAlignment="1">
      <alignment horizontal="left" vertical="top" wrapText="1"/>
    </xf>
    <xf numFmtId="0" fontId="2" fillId="3" borderId="9" xfId="0" applyFont="1" applyFill="1" applyBorder="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right" vertical="top" wrapText="1"/>
    </xf>
    <xf numFmtId="0" fontId="8" fillId="0" borderId="1" xfId="0" applyFont="1" applyFill="1" applyBorder="1" applyAlignment="1">
      <alignment horizontal="center" vertical="top" wrapText="1"/>
    </xf>
    <xf numFmtId="0" fontId="2" fillId="0" borderId="1" xfId="0" applyFont="1" applyBorder="1" applyAlignment="1">
      <alignment vertical="top"/>
    </xf>
    <xf numFmtId="0" fontId="2" fillId="4" borderId="1" xfId="0" applyFont="1" applyFill="1" applyBorder="1" applyAlignment="1">
      <alignment vertical="top"/>
    </xf>
    <xf numFmtId="0" fontId="2" fillId="3" borderId="1" xfId="0" applyFont="1" applyFill="1" applyBorder="1" applyAlignment="1">
      <alignment vertical="top"/>
    </xf>
    <xf numFmtId="0" fontId="2" fillId="0" borderId="10" xfId="0" applyFont="1" applyFill="1" applyBorder="1" applyAlignment="1">
      <alignment vertical="top"/>
    </xf>
    <xf numFmtId="0" fontId="2" fillId="0" borderId="0" xfId="0" applyFont="1" applyAlignment="1">
      <alignment vertical="top"/>
    </xf>
    <xf numFmtId="0" fontId="8" fillId="0" borderId="1" xfId="0" applyFont="1" applyFill="1" applyBorder="1" applyAlignment="1">
      <alignment vertical="top" wrapText="1"/>
    </xf>
    <xf numFmtId="0" fontId="8" fillId="0" borderId="11" xfId="0" applyFont="1" applyFill="1" applyBorder="1" applyAlignment="1">
      <alignment vertical="top" wrapText="1"/>
    </xf>
    <xf numFmtId="0" fontId="8" fillId="0" borderId="5"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2" fillId="0" borderId="1" xfId="0" applyFont="1" applyBorder="1" applyAlignment="1">
      <alignment horizontal="right" vertical="top"/>
    </xf>
    <xf numFmtId="0" fontId="2" fillId="0" borderId="11" xfId="0" applyFont="1" applyBorder="1" applyAlignment="1">
      <alignment vertical="top"/>
    </xf>
    <xf numFmtId="0" fontId="2" fillId="0" borderId="1" xfId="0" applyFont="1" applyFill="1" applyBorder="1" applyAlignment="1">
      <alignment horizontal="right" vertical="top"/>
    </xf>
    <xf numFmtId="0" fontId="2" fillId="0" borderId="11" xfId="0" applyFont="1" applyFill="1" applyBorder="1" applyAlignment="1">
      <alignment vertical="top"/>
    </xf>
    <xf numFmtId="0" fontId="2" fillId="0" borderId="5" xfId="0" applyFont="1" applyFill="1" applyBorder="1" applyAlignment="1">
      <alignment horizontal="center" vertical="top" wrapText="1"/>
    </xf>
    <xf numFmtId="0" fontId="2" fillId="0" borderId="1" xfId="0" applyFont="1" applyFill="1" applyBorder="1"/>
    <xf numFmtId="0" fontId="2" fillId="0" borderId="6" xfId="0" applyFont="1" applyFill="1" applyBorder="1"/>
    <xf numFmtId="0" fontId="2" fillId="3" borderId="1" xfId="0" applyFont="1" applyFill="1" applyBorder="1" applyAlignment="1">
      <alignment horizontal="right" vertical="top"/>
    </xf>
    <xf numFmtId="0" fontId="2" fillId="3" borderId="11" xfId="0" applyFont="1" applyFill="1" applyBorder="1" applyAlignment="1">
      <alignment horizontal="right" vertical="top"/>
    </xf>
    <xf numFmtId="0" fontId="2" fillId="3" borderId="6" xfId="0" applyFont="1" applyFill="1" applyBorder="1" applyAlignment="1">
      <alignment vertical="top"/>
    </xf>
    <xf numFmtId="0" fontId="2" fillId="0" borderId="6" xfId="0" applyFont="1" applyBorder="1" applyAlignment="1">
      <alignment vertical="top"/>
    </xf>
    <xf numFmtId="0" fontId="2" fillId="3" borderId="11" xfId="0" applyFont="1" applyFill="1" applyBorder="1" applyAlignment="1">
      <alignment vertical="top"/>
    </xf>
    <xf numFmtId="0" fontId="2" fillId="3" borderId="1" xfId="0" applyFont="1" applyFill="1" applyBorder="1"/>
    <xf numFmtId="0" fontId="2" fillId="3" borderId="6" xfId="0" applyFont="1" applyFill="1" applyBorder="1"/>
    <xf numFmtId="0" fontId="2" fillId="0" borderId="10" xfId="0" applyFont="1" applyFill="1" applyBorder="1" applyAlignment="1">
      <alignment horizontal="right" vertical="top"/>
    </xf>
    <xf numFmtId="0" fontId="2" fillId="0" borderId="13" xfId="0" applyFont="1" applyFill="1" applyBorder="1" applyAlignment="1">
      <alignment vertical="top"/>
    </xf>
    <xf numFmtId="0" fontId="2" fillId="3" borderId="12" xfId="0" applyFont="1" applyFill="1" applyBorder="1" applyAlignment="1">
      <alignment horizontal="center" vertical="top" wrapText="1"/>
    </xf>
    <xf numFmtId="0" fontId="2" fillId="3" borderId="10" xfId="0" applyFont="1" applyFill="1" applyBorder="1"/>
    <xf numFmtId="0" fontId="2" fillId="3" borderId="14" xfId="0" applyFont="1" applyFill="1" applyBorder="1"/>
    <xf numFmtId="0" fontId="2" fillId="3" borderId="10" xfId="0" applyFont="1" applyFill="1" applyBorder="1" applyAlignment="1">
      <alignment horizontal="right" vertical="top"/>
    </xf>
    <xf numFmtId="0" fontId="2" fillId="3" borderId="13" xfId="0" applyFont="1" applyFill="1" applyBorder="1" applyAlignment="1">
      <alignment vertical="top"/>
    </xf>
    <xf numFmtId="0" fontId="2" fillId="0" borderId="7" xfId="0" applyFont="1" applyBorder="1" applyAlignment="1">
      <alignment horizontal="center" vertical="top" wrapText="1"/>
    </xf>
    <xf numFmtId="0" fontId="2" fillId="0" borderId="8" xfId="0" applyFont="1" applyFill="1" applyBorder="1" applyAlignment="1">
      <alignment vertical="top" wrapText="1"/>
    </xf>
    <xf numFmtId="0" fontId="2" fillId="0" borderId="9" xfId="0" applyFont="1" applyFill="1" applyBorder="1" applyAlignment="1">
      <alignment vertical="top" wrapText="1"/>
    </xf>
    <xf numFmtId="0" fontId="2" fillId="0" borderId="0" xfId="0" applyFont="1" applyAlignment="1">
      <alignment horizontal="right" vertical="top"/>
    </xf>
    <xf numFmtId="0" fontId="2" fillId="0" borderId="0" xfId="0" applyFont="1" applyAlignment="1">
      <alignment horizontal="center" vertical="top"/>
    </xf>
    <xf numFmtId="0" fontId="0" fillId="0" borderId="0" xfId="0" applyFont="1" applyFill="1" applyAlignment="1">
      <alignment vertical="top"/>
    </xf>
    <xf numFmtId="0" fontId="0" fillId="0" borderId="1" xfId="0" applyFont="1" applyFill="1" applyBorder="1" applyAlignment="1">
      <alignment horizontal="left" vertical="top" wrapText="1" indent="1"/>
    </xf>
    <xf numFmtId="0" fontId="0" fillId="0" borderId="1" xfId="0" applyFont="1" applyFill="1" applyBorder="1" applyAlignment="1">
      <alignment horizontal="center" vertical="top" wrapText="1"/>
    </xf>
    <xf numFmtId="0" fontId="2" fillId="0" borderId="1" xfId="0" applyFont="1" applyFill="1" applyBorder="1" applyAlignment="1">
      <alignment horizontal="center" vertical="top" wrapText="1"/>
    </xf>
    <xf numFmtId="0" fontId="16" fillId="10" borderId="0" xfId="0" applyFont="1" applyFill="1" applyBorder="1" applyAlignment="1">
      <alignment horizontal="center" vertical="top"/>
    </xf>
    <xf numFmtId="0" fontId="16" fillId="10" borderId="0" xfId="0" applyFont="1" applyFill="1" applyBorder="1" applyAlignment="1">
      <alignment vertical="top"/>
    </xf>
    <xf numFmtId="0" fontId="16" fillId="10" borderId="0" xfId="0" applyFont="1" applyFill="1" applyBorder="1" applyAlignment="1">
      <alignment horizontal="left" vertical="top"/>
    </xf>
    <xf numFmtId="0" fontId="16" fillId="10" borderId="0" xfId="0" applyFont="1" applyFill="1" applyBorder="1" applyAlignment="1">
      <alignment horizontal="center" vertical="top" wrapText="1"/>
    </xf>
    <xf numFmtId="0" fontId="16" fillId="11" borderId="0" xfId="0" applyFont="1" applyFill="1" applyBorder="1" applyAlignment="1">
      <alignment horizontal="center" vertical="center" wrapText="1"/>
    </xf>
    <xf numFmtId="0" fontId="16" fillId="11" borderId="0" xfId="0" applyFont="1" applyFill="1" applyBorder="1" applyAlignment="1">
      <alignment horizontal="center" vertical="center"/>
    </xf>
    <xf numFmtId="0" fontId="15" fillId="2" borderId="0" xfId="0" applyFont="1" applyFill="1" applyBorder="1" applyAlignment="1">
      <alignment horizontal="center" vertical="top" wrapText="1"/>
    </xf>
    <xf numFmtId="0" fontId="15" fillId="2" borderId="0" xfId="0" applyFont="1" applyFill="1" applyBorder="1" applyAlignment="1">
      <alignment horizontal="center" vertical="top"/>
    </xf>
    <xf numFmtId="0" fontId="19" fillId="10" borderId="0" xfId="0" applyFont="1" applyFill="1" applyBorder="1" applyAlignment="1">
      <alignment horizontal="center" vertical="center"/>
    </xf>
    <xf numFmtId="0" fontId="19" fillId="10" borderId="0" xfId="0" applyFont="1" applyFill="1" applyBorder="1" applyAlignment="1">
      <alignment vertical="center"/>
    </xf>
    <xf numFmtId="0" fontId="19" fillId="10" borderId="0" xfId="0" applyFont="1" applyFill="1" applyBorder="1" applyAlignment="1">
      <alignment horizontal="left" vertical="center"/>
    </xf>
    <xf numFmtId="0" fontId="21" fillId="10" borderId="0" xfId="0" applyFont="1" applyFill="1" applyBorder="1" applyAlignment="1">
      <alignment horizontal="center" vertical="center" wrapText="1"/>
    </xf>
    <xf numFmtId="0" fontId="0" fillId="0" borderId="0" xfId="0" applyFill="1"/>
    <xf numFmtId="0" fontId="24" fillId="15" borderId="0" xfId="0" applyFont="1" applyFill="1" applyAlignment="1">
      <alignment horizontal="center" vertical="center"/>
    </xf>
    <xf numFmtId="0" fontId="0" fillId="0" borderId="0" xfId="0" applyFill="1" applyAlignment="1">
      <alignment horizontal="center" vertical="center"/>
    </xf>
    <xf numFmtId="0" fontId="0" fillId="0" borderId="0" xfId="0" applyAlignment="1">
      <alignment horizontal="center" vertical="center"/>
    </xf>
    <xf numFmtId="0" fontId="25" fillId="16" borderId="0" xfId="0" applyFont="1" applyFill="1" applyAlignment="1">
      <alignment horizontal="center" vertical="center"/>
    </xf>
    <xf numFmtId="0" fontId="1" fillId="14" borderId="25" xfId="0" applyFont="1" applyFill="1" applyBorder="1" applyAlignment="1">
      <alignment horizontal="center" vertical="center" wrapText="1"/>
    </xf>
    <xf numFmtId="0" fontId="1" fillId="14" borderId="26" xfId="0" applyFont="1" applyFill="1" applyBorder="1" applyAlignment="1">
      <alignment horizontal="center" vertical="center" wrapText="1"/>
    </xf>
    <xf numFmtId="0" fontId="1" fillId="14" borderId="27" xfId="0" applyFont="1" applyFill="1" applyBorder="1" applyAlignment="1">
      <alignment horizontal="center" vertical="center" wrapText="1"/>
    </xf>
    <xf numFmtId="0" fontId="12" fillId="0" borderId="24" xfId="0" applyFont="1" applyBorder="1" applyAlignment="1">
      <alignment horizontal="center" vertical="center"/>
    </xf>
    <xf numFmtId="0" fontId="12" fillId="0" borderId="30" xfId="0" applyFont="1" applyFill="1" applyBorder="1" applyAlignment="1">
      <alignment horizontal="center" vertical="center"/>
    </xf>
    <xf numFmtId="0" fontId="12" fillId="0" borderId="31" xfId="0" applyFont="1" applyFill="1" applyBorder="1" applyAlignment="1">
      <alignment horizontal="center" vertical="center"/>
    </xf>
    <xf numFmtId="164" fontId="0" fillId="19" borderId="0" xfId="0" applyNumberFormat="1" applyFont="1" applyFill="1" applyBorder="1" applyAlignment="1">
      <alignment horizontal="center"/>
    </xf>
    <xf numFmtId="0" fontId="0" fillId="0" borderId="0" xfId="0" applyAlignment="1">
      <alignment vertical="center"/>
    </xf>
    <xf numFmtId="0" fontId="0" fillId="0" borderId="0" xfId="0" applyAlignment="1">
      <alignment horizontal="center"/>
    </xf>
    <xf numFmtId="0" fontId="1" fillId="18" borderId="0" xfId="0" applyFont="1" applyFill="1" applyBorder="1" applyAlignment="1">
      <alignment horizontal="center" vertical="center" wrapText="1"/>
    </xf>
    <xf numFmtId="0" fontId="1" fillId="18" borderId="22" xfId="0" applyFont="1" applyFill="1" applyBorder="1" applyAlignment="1">
      <alignment horizontal="center" vertical="center" wrapText="1"/>
    </xf>
    <xf numFmtId="0" fontId="1" fillId="18" borderId="23" xfId="0" applyFont="1" applyFill="1" applyBorder="1" applyAlignment="1">
      <alignment horizontal="center" vertical="center" wrapText="1"/>
    </xf>
    <xf numFmtId="0" fontId="2" fillId="19" borderId="22" xfId="0" applyFont="1" applyFill="1" applyBorder="1" applyAlignment="1">
      <alignment horizontal="left"/>
    </xf>
    <xf numFmtId="164" fontId="0" fillId="19" borderId="23" xfId="0" applyNumberFormat="1" applyFont="1" applyFill="1" applyBorder="1" applyAlignment="1">
      <alignment horizontal="center"/>
    </xf>
    <xf numFmtId="0" fontId="2" fillId="19" borderId="32" xfId="0" applyFont="1" applyFill="1" applyBorder="1" applyAlignment="1">
      <alignment horizontal="left"/>
    </xf>
    <xf numFmtId="164" fontId="1" fillId="8" borderId="23" xfId="0" applyNumberFormat="1" applyFont="1" applyFill="1" applyBorder="1" applyAlignment="1">
      <alignment horizontal="center"/>
    </xf>
    <xf numFmtId="164" fontId="1" fillId="8" borderId="29" xfId="0" applyNumberFormat="1" applyFont="1" applyFill="1" applyBorder="1" applyAlignment="1">
      <alignment horizontal="center"/>
    </xf>
    <xf numFmtId="0" fontId="1" fillId="7" borderId="22" xfId="0" applyFont="1" applyFill="1" applyBorder="1" applyAlignment="1">
      <alignment horizontal="center" vertical="center" wrapText="1"/>
    </xf>
    <xf numFmtId="0" fontId="1" fillId="7" borderId="23" xfId="0" applyFont="1" applyFill="1" applyBorder="1" applyAlignment="1">
      <alignment horizontal="center" vertical="center" wrapText="1"/>
    </xf>
    <xf numFmtId="0" fontId="0" fillId="4" borderId="0" xfId="0" applyFill="1"/>
    <xf numFmtId="0" fontId="0" fillId="4" borderId="0" xfId="0" applyFill="1" applyAlignment="1">
      <alignment vertical="center"/>
    </xf>
    <xf numFmtId="0" fontId="7" fillId="17" borderId="0" xfId="0" applyFont="1" applyFill="1" applyAlignment="1">
      <alignment horizontal="center"/>
    </xf>
    <xf numFmtId="0" fontId="0" fillId="0" borderId="0" xfId="0" applyFont="1" applyBorder="1" applyAlignment="1">
      <alignment horizontal="center" vertical="center"/>
    </xf>
    <xf numFmtId="0" fontId="0" fillId="0" borderId="28" xfId="0" applyFont="1" applyBorder="1" applyAlignment="1">
      <alignment horizontal="center" vertical="center"/>
    </xf>
    <xf numFmtId="0" fontId="0" fillId="0" borderId="23"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164" fontId="0" fillId="19" borderId="28" xfId="0" applyNumberFormat="1" applyFill="1" applyBorder="1" applyAlignment="1">
      <alignment horizontal="center"/>
    </xf>
    <xf numFmtId="164" fontId="0" fillId="19" borderId="29" xfId="0" applyNumberFormat="1" applyFill="1" applyBorder="1" applyAlignment="1">
      <alignment horizontal="center"/>
    </xf>
    <xf numFmtId="0" fontId="17" fillId="0" borderId="0" xfId="0" applyFont="1" applyBorder="1" applyAlignment="1">
      <alignment vertical="top" wrapText="1"/>
    </xf>
    <xf numFmtId="0" fontId="20" fillId="0" borderId="0" xfId="0" applyFont="1" applyBorder="1" applyAlignment="1">
      <alignment vertical="center" wrapText="1"/>
    </xf>
    <xf numFmtId="0" fontId="9" fillId="0" borderId="0" xfId="0" applyFont="1" applyBorder="1" applyAlignment="1">
      <alignment horizontal="center" vertical="center" wrapText="1"/>
    </xf>
    <xf numFmtId="0" fontId="13" fillId="0" borderId="0" xfId="0" applyFont="1" applyBorder="1" applyAlignment="1">
      <alignment vertical="center"/>
    </xf>
    <xf numFmtId="0" fontId="12" fillId="0" borderId="0" xfId="0" applyFont="1" applyBorder="1" applyAlignment="1">
      <alignment vertical="center"/>
    </xf>
    <xf numFmtId="0" fontId="12" fillId="0" borderId="0" xfId="0" applyFont="1" applyFill="1" applyBorder="1" applyAlignment="1">
      <alignment vertical="center"/>
    </xf>
    <xf numFmtId="0" fontId="12" fillId="0" borderId="0" xfId="0" applyFont="1" applyBorder="1" applyAlignment="1">
      <alignment horizontal="left" vertical="center"/>
    </xf>
    <xf numFmtId="0" fontId="13" fillId="0" borderId="0" xfId="0" applyFont="1" applyFill="1" applyBorder="1" applyAlignment="1">
      <alignment horizontal="left" vertical="center" wrapText="1"/>
    </xf>
    <xf numFmtId="0" fontId="12" fillId="0" borderId="0" xfId="0" applyFont="1" applyBorder="1" applyAlignment="1">
      <alignment horizontal="center" vertical="top" wrapText="1"/>
    </xf>
    <xf numFmtId="0" fontId="12" fillId="0" borderId="0" xfId="0" applyFont="1" applyBorder="1" applyAlignment="1">
      <alignment horizontal="left" vertical="top" wrapText="1"/>
    </xf>
    <xf numFmtId="0" fontId="13" fillId="0" borderId="0" xfId="0" applyFont="1" applyFill="1" applyBorder="1" applyAlignment="1">
      <alignment vertical="top" wrapText="1"/>
    </xf>
    <xf numFmtId="0" fontId="13" fillId="0" borderId="0" xfId="0" applyFont="1" applyFill="1" applyBorder="1" applyAlignment="1">
      <alignment horizontal="center" vertical="center" wrapText="1"/>
    </xf>
    <xf numFmtId="0" fontId="13" fillId="0" borderId="0" xfId="0" applyFont="1" applyFill="1" applyBorder="1" applyAlignment="1">
      <alignment horizontal="left" vertical="top" wrapText="1"/>
    </xf>
    <xf numFmtId="0" fontId="12" fillId="0" borderId="0" xfId="0" applyFont="1" applyBorder="1" applyAlignment="1">
      <alignment horizontal="center" vertical="center" wrapText="1"/>
    </xf>
    <xf numFmtId="0" fontId="12" fillId="0" borderId="0" xfId="0" applyFont="1" applyBorder="1" applyAlignment="1">
      <alignment vertical="top" wrapText="1"/>
    </xf>
    <xf numFmtId="0" fontId="13" fillId="0" borderId="0" xfId="0" applyFont="1" applyBorder="1" applyAlignment="1">
      <alignment vertical="top" wrapText="1"/>
    </xf>
    <xf numFmtId="0" fontId="13" fillId="0" borderId="0" xfId="0" applyFont="1" applyBorder="1" applyAlignment="1">
      <alignment horizontal="center" vertical="center" wrapText="1"/>
    </xf>
    <xf numFmtId="0" fontId="13" fillId="0" borderId="0" xfId="0" applyFont="1" applyBorder="1" applyAlignment="1">
      <alignment horizontal="left" vertical="top" wrapText="1"/>
    </xf>
    <xf numFmtId="0" fontId="10" fillId="14" borderId="0" xfId="0" applyFont="1" applyFill="1" applyAlignment="1">
      <alignment horizontal="center" vertical="center" wrapText="1"/>
    </xf>
    <xf numFmtId="0" fontId="10" fillId="12" borderId="0" xfId="0" applyFont="1" applyFill="1" applyAlignment="1">
      <alignment horizontal="center" vertical="center" wrapText="1"/>
    </xf>
    <xf numFmtId="0" fontId="10" fillId="7" borderId="0" xfId="0" applyFont="1" applyFill="1" applyAlignment="1">
      <alignment horizontal="center" vertical="center" wrapText="1"/>
    </xf>
    <xf numFmtId="0" fontId="10" fillId="5" borderId="0" xfId="0" applyFont="1" applyFill="1" applyAlignment="1">
      <alignment horizontal="center" vertical="center" wrapText="1"/>
    </xf>
    <xf numFmtId="0" fontId="9" fillId="5" borderId="0" xfId="0" applyFont="1" applyFill="1" applyAlignment="1">
      <alignment horizontal="center" vertical="center" wrapText="1"/>
    </xf>
    <xf numFmtId="0" fontId="12" fillId="0" borderId="0" xfId="0" applyFont="1" applyBorder="1" applyAlignment="1">
      <alignment vertical="center" wrapText="1"/>
    </xf>
    <xf numFmtId="0" fontId="12" fillId="0" borderId="0" xfId="0" applyFont="1" applyBorder="1" applyAlignment="1">
      <alignment horizontal="left" vertical="center" wrapText="1"/>
    </xf>
    <xf numFmtId="0" fontId="0" fillId="0" borderId="33" xfId="0" applyBorder="1" applyAlignment="1">
      <alignment horizontal="center" vertical="center"/>
    </xf>
    <xf numFmtId="0" fontId="26" fillId="17" borderId="33" xfId="0" applyFont="1" applyFill="1" applyBorder="1" applyAlignment="1">
      <alignment horizontal="center" vertical="center"/>
    </xf>
    <xf numFmtId="0" fontId="12" fillId="0" borderId="34" xfId="0" applyFont="1" applyFill="1" applyBorder="1" applyAlignment="1">
      <alignment horizontal="center" vertical="center"/>
    </xf>
    <xf numFmtId="0" fontId="13" fillId="0" borderId="34" xfId="0" applyFont="1" applyFill="1" applyBorder="1" applyAlignment="1">
      <alignment horizontal="left" vertical="center" wrapText="1"/>
    </xf>
    <xf numFmtId="0" fontId="13" fillId="0" borderId="34" xfId="0" applyFont="1" applyFill="1" applyBorder="1" applyAlignment="1">
      <alignment vertical="center" wrapText="1"/>
    </xf>
    <xf numFmtId="0" fontId="13" fillId="0" borderId="34" xfId="0" applyFont="1" applyBorder="1" applyAlignment="1">
      <alignment horizontal="center" vertical="center" wrapText="1"/>
    </xf>
    <xf numFmtId="0" fontId="13" fillId="0" borderId="34" xfId="0" applyFont="1" applyBorder="1" applyAlignment="1">
      <alignment horizontal="left" vertical="center" wrapText="1"/>
    </xf>
    <xf numFmtId="0" fontId="13" fillId="0" borderId="34" xfId="0" applyFont="1" applyBorder="1" applyAlignment="1">
      <alignment vertical="center" wrapText="1"/>
    </xf>
    <xf numFmtId="0" fontId="12" fillId="0" borderId="34" xfId="0" applyFont="1" applyBorder="1" applyAlignment="1">
      <alignment vertical="center" wrapText="1"/>
    </xf>
    <xf numFmtId="0" fontId="13" fillId="0" borderId="34" xfId="0" applyFont="1" applyFill="1" applyBorder="1" applyAlignment="1">
      <alignment horizontal="center" vertical="center" wrapText="1"/>
    </xf>
    <xf numFmtId="0" fontId="18" fillId="0" borderId="34" xfId="0" applyFont="1" applyFill="1" applyBorder="1" applyAlignment="1">
      <alignment horizontal="center" vertical="center"/>
    </xf>
    <xf numFmtId="0" fontId="12" fillId="0" borderId="34" xfId="0" applyFont="1" applyBorder="1" applyAlignment="1">
      <alignment horizontal="left" vertical="center" wrapText="1"/>
    </xf>
    <xf numFmtId="0" fontId="14" fillId="0" borderId="34" xfId="0" applyFont="1" applyBorder="1" applyAlignment="1">
      <alignment horizontal="left" vertical="center" wrapText="1"/>
    </xf>
    <xf numFmtId="0" fontId="13" fillId="0" borderId="34" xfId="0" applyFont="1" applyFill="1" applyBorder="1" applyAlignment="1">
      <alignment horizontal="center" vertical="center"/>
    </xf>
    <xf numFmtId="9" fontId="13" fillId="0" borderId="34" xfId="0" applyNumberFormat="1" applyFont="1" applyBorder="1" applyAlignment="1">
      <alignment horizontal="left" vertical="center" wrapText="1"/>
    </xf>
    <xf numFmtId="0" fontId="13" fillId="4" borderId="34" xfId="0" applyFont="1" applyFill="1" applyBorder="1" applyAlignment="1">
      <alignment horizontal="center" vertical="center" wrapText="1"/>
    </xf>
    <xf numFmtId="0" fontId="12" fillId="0" borderId="0" xfId="0" applyFont="1" applyAlignment="1">
      <alignment vertical="center" wrapText="1"/>
    </xf>
    <xf numFmtId="0" fontId="12" fillId="0" borderId="0" xfId="0" applyFont="1" applyFill="1" applyBorder="1" applyAlignment="1">
      <alignment vertical="center" wrapText="1"/>
    </xf>
    <xf numFmtId="0" fontId="12" fillId="0" borderId="0" xfId="0" applyFont="1" applyAlignment="1">
      <alignment horizontal="center" vertical="center" wrapText="1"/>
    </xf>
    <xf numFmtId="0" fontId="22" fillId="2" borderId="0" xfId="0" applyFont="1" applyFill="1" applyBorder="1" applyAlignment="1">
      <alignment horizontal="center" vertical="center"/>
    </xf>
    <xf numFmtId="0" fontId="19" fillId="11" borderId="0" xfId="0" applyFont="1" applyFill="1" applyBorder="1" applyAlignment="1">
      <alignment horizontal="center" vertical="center" wrapText="1"/>
    </xf>
    <xf numFmtId="0" fontId="19" fillId="11" borderId="0" xfId="0" applyFont="1" applyFill="1" applyBorder="1" applyAlignment="1">
      <alignment horizontal="center" vertical="center"/>
    </xf>
    <xf numFmtId="0" fontId="23" fillId="13" borderId="0" xfId="0" applyFont="1" applyFill="1" applyBorder="1" applyAlignment="1">
      <alignment horizontal="center" vertical="center" wrapText="1"/>
    </xf>
    <xf numFmtId="0" fontId="11" fillId="13" borderId="0" xfId="0" applyFont="1" applyFill="1" applyBorder="1" applyAlignment="1">
      <alignment horizontal="center" vertical="center"/>
    </xf>
    <xf numFmtId="0" fontId="11" fillId="13" borderId="0" xfId="0" applyFont="1" applyFill="1" applyBorder="1" applyAlignment="1">
      <alignment horizontal="center" vertical="center" wrapText="1"/>
    </xf>
    <xf numFmtId="164" fontId="1" fillId="8" borderId="32" xfId="0" applyNumberFormat="1" applyFont="1" applyFill="1" applyBorder="1" applyAlignment="1">
      <alignment horizontal="center"/>
    </xf>
    <xf numFmtId="0" fontId="1" fillId="8" borderId="29" xfId="0" applyFont="1" applyFill="1" applyBorder="1" applyAlignment="1">
      <alignment horizontal="center"/>
    </xf>
    <xf numFmtId="0" fontId="7" fillId="13" borderId="19" xfId="0" applyFont="1" applyFill="1" applyBorder="1" applyAlignment="1">
      <alignment horizontal="center" vertical="center" wrapText="1"/>
    </xf>
    <xf numFmtId="0" fontId="7" fillId="13" borderId="20" xfId="0" applyFont="1" applyFill="1" applyBorder="1" applyAlignment="1">
      <alignment horizontal="center" vertical="center" wrapText="1"/>
    </xf>
    <xf numFmtId="0" fontId="7" fillId="13" borderId="21" xfId="0" applyFont="1" applyFill="1" applyBorder="1" applyAlignment="1">
      <alignment horizontal="center" vertical="center" wrapText="1"/>
    </xf>
    <xf numFmtId="0" fontId="7" fillId="13" borderId="22" xfId="0" applyFont="1" applyFill="1" applyBorder="1" applyAlignment="1">
      <alignment horizontal="center" vertical="center" wrapText="1"/>
    </xf>
    <xf numFmtId="0" fontId="7" fillId="13" borderId="0" xfId="0" applyFont="1" applyFill="1" applyBorder="1" applyAlignment="1">
      <alignment horizontal="center" vertical="center" wrapText="1"/>
    </xf>
    <xf numFmtId="0" fontId="7" fillId="13" borderId="23" xfId="0" applyFont="1" applyFill="1" applyBorder="1" applyAlignment="1">
      <alignment horizontal="center" vertical="center" wrapText="1"/>
    </xf>
    <xf numFmtId="0" fontId="7" fillId="17" borderId="19" xfId="0" applyFont="1" applyFill="1" applyBorder="1" applyAlignment="1">
      <alignment horizontal="center" vertical="center" wrapText="1"/>
    </xf>
    <xf numFmtId="0" fontId="7" fillId="17" borderId="20" xfId="0" applyFont="1" applyFill="1" applyBorder="1" applyAlignment="1">
      <alignment horizontal="center" vertical="center" wrapText="1"/>
    </xf>
    <xf numFmtId="0" fontId="7" fillId="17" borderId="21" xfId="0" applyFont="1" applyFill="1" applyBorder="1" applyAlignment="1">
      <alignment horizontal="center" vertical="center" wrapText="1"/>
    </xf>
    <xf numFmtId="0" fontId="7" fillId="17" borderId="22" xfId="0" applyFont="1" applyFill="1" applyBorder="1" applyAlignment="1">
      <alignment horizontal="center" vertical="center" wrapText="1"/>
    </xf>
    <xf numFmtId="0" fontId="7" fillId="17" borderId="0" xfId="0" applyFont="1" applyFill="1" applyBorder="1" applyAlignment="1">
      <alignment horizontal="center" vertical="center" wrapText="1"/>
    </xf>
    <xf numFmtId="0" fontId="7" fillId="17" borderId="23" xfId="0" applyFont="1" applyFill="1" applyBorder="1" applyAlignment="1">
      <alignment horizontal="center" vertical="center" wrapText="1"/>
    </xf>
    <xf numFmtId="0" fontId="7" fillId="15" borderId="19" xfId="0" applyFont="1" applyFill="1" applyBorder="1" applyAlignment="1">
      <alignment horizontal="center" vertical="center"/>
    </xf>
    <xf numFmtId="0" fontId="7" fillId="15" borderId="21" xfId="0" applyFont="1" applyFill="1" applyBorder="1" applyAlignment="1">
      <alignment horizontal="center" vertical="center"/>
    </xf>
    <xf numFmtId="0" fontId="7" fillId="15" borderId="22" xfId="0" applyFont="1" applyFill="1" applyBorder="1" applyAlignment="1">
      <alignment horizontal="center" vertical="center"/>
    </xf>
    <xf numFmtId="0" fontId="7" fillId="15" borderId="23" xfId="0" applyFont="1" applyFill="1" applyBorder="1" applyAlignment="1">
      <alignment horizontal="center" vertical="center"/>
    </xf>
    <xf numFmtId="0" fontId="8" fillId="2" borderId="19" xfId="0" applyFont="1" applyFill="1" applyBorder="1" applyAlignment="1">
      <alignment horizontal="center" vertical="top" wrapText="1"/>
    </xf>
    <xf numFmtId="0" fontId="8" fillId="2" borderId="20" xfId="0" applyFont="1" applyFill="1" applyBorder="1" applyAlignment="1">
      <alignment horizontal="center" vertical="top" wrapText="1"/>
    </xf>
    <xf numFmtId="0" fontId="8" fillId="2" borderId="21" xfId="0" applyFont="1" applyFill="1" applyBorder="1" applyAlignment="1">
      <alignment horizontal="center" vertical="top" wrapText="1"/>
    </xf>
    <xf numFmtId="0" fontId="1" fillId="5" borderId="0" xfId="0" applyFont="1" applyFill="1" applyBorder="1" applyAlignment="1">
      <alignment horizontal="center" vertical="top" wrapText="1"/>
    </xf>
    <xf numFmtId="0" fontId="1" fillId="5" borderId="23" xfId="0" applyFont="1" applyFill="1" applyBorder="1" applyAlignment="1">
      <alignment horizontal="center" vertical="top" wrapText="1"/>
    </xf>
    <xf numFmtId="0" fontId="1" fillId="2" borderId="19" xfId="0" applyFont="1" applyFill="1" applyBorder="1" applyAlignment="1">
      <alignment horizontal="center" vertical="top" wrapText="1"/>
    </xf>
    <xf numFmtId="0" fontId="1" fillId="2" borderId="20" xfId="0" applyFont="1" applyFill="1" applyBorder="1" applyAlignment="1">
      <alignment horizontal="center" vertical="top" wrapText="1"/>
    </xf>
    <xf numFmtId="0" fontId="1" fillId="2" borderId="21" xfId="0" applyFont="1" applyFill="1" applyBorder="1" applyAlignment="1">
      <alignment horizontal="center" vertical="top" wrapText="1"/>
    </xf>
    <xf numFmtId="0" fontId="1" fillId="5" borderId="1" xfId="0" applyFont="1" applyFill="1" applyBorder="1" applyAlignment="1">
      <alignment horizontal="center" vertical="top" wrapText="1"/>
    </xf>
    <xf numFmtId="0" fontId="1" fillId="5" borderId="11" xfId="0" applyFont="1" applyFill="1" applyBorder="1" applyAlignment="1">
      <alignment horizontal="center" vertical="top" wrapText="1"/>
    </xf>
    <xf numFmtId="0" fontId="8" fillId="2" borderId="2" xfId="0" applyFont="1" applyFill="1" applyBorder="1" applyAlignment="1">
      <alignment horizontal="center" vertical="top" wrapText="1"/>
    </xf>
    <xf numFmtId="0" fontId="8" fillId="2" borderId="3" xfId="0" applyFont="1" applyFill="1" applyBorder="1" applyAlignment="1">
      <alignment horizontal="center" vertical="top" wrapText="1"/>
    </xf>
    <xf numFmtId="0" fontId="8" fillId="2" borderId="4" xfId="0" applyFont="1" applyFill="1" applyBorder="1" applyAlignment="1">
      <alignment horizontal="center" vertical="top" wrapText="1"/>
    </xf>
    <xf numFmtId="0" fontId="1" fillId="5" borderId="19" xfId="0" applyFont="1" applyFill="1" applyBorder="1" applyAlignment="1">
      <alignment horizontal="center" vertical="top" wrapText="1"/>
    </xf>
    <xf numFmtId="0" fontId="1" fillId="5" borderId="20" xfId="0" applyFont="1" applyFill="1" applyBorder="1" applyAlignment="1">
      <alignment horizontal="center" vertical="top" wrapText="1"/>
    </xf>
  </cellXfs>
  <cellStyles count="1">
    <cellStyle name="Normal" xfId="0" builtinId="0"/>
  </cellStyles>
  <dxfs count="0"/>
  <tableStyles count="1" defaultTableStyle="TableStyleMedium2" defaultPivotStyle="PivotStyleLight16">
    <tableStyle name="Invisible" pivot="0" table="0" count="0" xr9:uid="{2C97CE3D-3C9C-4AC1-8F56-1B47473A7599}"/>
  </tableStyles>
  <colors>
    <mruColors>
      <color rgb="FFE6CDFF"/>
      <color rgb="FF9751CB"/>
      <color rgb="FFFF5050"/>
      <color rgb="FFFF7C80"/>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1"/>
          <c:order val="0"/>
          <c:marker>
            <c:symbol val="none"/>
          </c:marker>
          <c:cat>
            <c:strRef>
              <c:f>'2. Note de maturité'!$N$4:$N$10</c:f>
              <c:strCache>
                <c:ptCount val="7"/>
                <c:pt idx="0">
                  <c:v>1. Stratégie et Gouvernance</c:v>
                </c:pt>
                <c:pt idx="1">
                  <c:v>2. Mesure</c:v>
                </c:pt>
                <c:pt idx="2">
                  <c:v>3. Achat</c:v>
                </c:pt>
                <c:pt idx="3">
                  <c:v>4. Transformation de l'IT</c:v>
                </c:pt>
                <c:pt idx="4">
                  <c:v>5. DEEE et Economie circulaire</c:v>
                </c:pt>
                <c:pt idx="5">
                  <c:v>6. Sensibilisation</c:v>
                </c:pt>
                <c:pt idx="6">
                  <c:v>7. IT pour une Collectivité Eco-responsable</c:v>
                </c:pt>
              </c:strCache>
            </c:strRef>
          </c:cat>
          <c:val>
            <c:numRef>
              <c:f>'2. Note de maturité'!$O$4:$O$10</c:f>
              <c:numCache>
                <c:formatCode>0.0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7-1EDE-4FF6-AD93-2930B9C1C0C4}"/>
            </c:ext>
          </c:extLst>
        </c:ser>
        <c:ser>
          <c:idx val="0"/>
          <c:order val="1"/>
          <c:spPr>
            <a:ln w="28575" cap="rnd">
              <a:solidFill>
                <a:schemeClr val="accent1"/>
              </a:solidFill>
              <a:round/>
            </a:ln>
            <a:effectLst/>
          </c:spPr>
          <c:marker>
            <c:symbol val="none"/>
          </c:marker>
          <c:cat>
            <c:strRef>
              <c:f>'2. Note de maturité'!$N$4:$N$10</c:f>
              <c:strCache>
                <c:ptCount val="7"/>
                <c:pt idx="0">
                  <c:v>1. Stratégie et Gouvernance</c:v>
                </c:pt>
                <c:pt idx="1">
                  <c:v>2. Mesure</c:v>
                </c:pt>
                <c:pt idx="2">
                  <c:v>3. Achat</c:v>
                </c:pt>
                <c:pt idx="3">
                  <c:v>4. Transformation de l'IT</c:v>
                </c:pt>
                <c:pt idx="4">
                  <c:v>5. DEEE et Economie circulaire</c:v>
                </c:pt>
                <c:pt idx="5">
                  <c:v>6. Sensibilisation</c:v>
                </c:pt>
                <c:pt idx="6">
                  <c:v>7. IT pour une Collectivité Eco-responsable</c:v>
                </c:pt>
              </c:strCache>
            </c:strRef>
          </c:cat>
          <c:val>
            <c:numRef>
              <c:f>'2. Note de maturité'!$O$4:$O$10</c:f>
              <c:numCache>
                <c:formatCode>0.0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6-1EDE-4FF6-AD93-2930B9C1C0C4}"/>
            </c:ext>
          </c:extLst>
        </c:ser>
        <c:dLbls>
          <c:showLegendKey val="0"/>
          <c:showVal val="0"/>
          <c:showCatName val="0"/>
          <c:showSerName val="0"/>
          <c:showPercent val="0"/>
          <c:showBubbleSize val="0"/>
        </c:dLbls>
        <c:axId val="729694616"/>
        <c:axId val="729691008"/>
      </c:radarChart>
      <c:catAx>
        <c:axId val="729694616"/>
        <c:scaling>
          <c:orientation val="minMax"/>
        </c:scaling>
        <c:delete val="1"/>
        <c:axPos val="b"/>
        <c:numFmt formatCode="General" sourceLinked="1"/>
        <c:majorTickMark val="none"/>
        <c:minorTickMark val="none"/>
        <c:tickLblPos val="nextTo"/>
        <c:crossAx val="729691008"/>
        <c:crosses val="autoZero"/>
        <c:auto val="1"/>
        <c:lblAlgn val="ctr"/>
        <c:lblOffset val="100"/>
        <c:noMultiLvlLbl val="0"/>
      </c:catAx>
      <c:valAx>
        <c:axId val="729691008"/>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fr-FR"/>
          </a:p>
        </c:txPr>
        <c:crossAx val="729694616"/>
        <c:crosses val="autoZero"/>
        <c:crossBetween val="between"/>
      </c:valAx>
    </c:plotArea>
    <c:plotVisOnly val="1"/>
    <c:dispBlanksAs val="gap"/>
    <c:showDLblsOverMax val="0"/>
    <c:extLst/>
  </c:chart>
  <c:spPr>
    <a:ln>
      <a:noFill/>
    </a:ln>
  </c:spPr>
  <c:txPr>
    <a:bodyPr/>
    <a:lstStyle/>
    <a:p>
      <a:pPr>
        <a:defRPr/>
      </a:pPr>
      <a:endParaRPr lang="fr-F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19050</xdr:rowOff>
    </xdr:from>
    <xdr:to>
      <xdr:col>1</xdr:col>
      <xdr:colOff>15240</xdr:colOff>
      <xdr:row>23</xdr:row>
      <xdr:rowOff>152400</xdr:rowOff>
    </xdr:to>
    <xdr:sp macro="" textlink="">
      <xdr:nvSpPr>
        <xdr:cNvPr id="557" name="Rectangle 1">
          <a:extLst>
            <a:ext uri="{FF2B5EF4-FFF2-40B4-BE49-F238E27FC236}">
              <a16:creationId xmlns:a16="http://schemas.microsoft.com/office/drawing/2014/main" id="{AFF8A7A8-3F13-47E6-9149-2BEB9F39AF7D}"/>
            </a:ext>
          </a:extLst>
        </xdr:cNvPr>
        <xdr:cNvSpPr/>
      </xdr:nvSpPr>
      <xdr:spPr>
        <a:xfrm>
          <a:off x="0" y="695325"/>
          <a:ext cx="10216515" cy="40862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200">
              <a:solidFill>
                <a:sysClr val="windowText" lastClr="000000"/>
              </a:solidFill>
            </a:rPr>
            <a:t>Le présent outil permet d'effectuer</a:t>
          </a:r>
          <a:r>
            <a:rPr lang="fr-FR" sz="1200" baseline="0">
              <a:solidFill>
                <a:sysClr val="windowText" lastClr="000000"/>
              </a:solidFill>
            </a:rPr>
            <a:t> </a:t>
          </a:r>
          <a:r>
            <a:rPr lang="fr-FR" sz="1200" b="0" baseline="0">
              <a:solidFill>
                <a:sysClr val="windowText" lastClr="000000"/>
              </a:solidFill>
            </a:rPr>
            <a:t>un</a:t>
          </a:r>
          <a:r>
            <a:rPr lang="fr-FR" sz="1200" b="1" baseline="0">
              <a:solidFill>
                <a:sysClr val="windowText" lastClr="000000"/>
              </a:solidFill>
            </a:rPr>
            <a:t> diagnostic de maturité qualitatif </a:t>
          </a:r>
          <a:r>
            <a:rPr lang="fr-FR" sz="1200" baseline="0">
              <a:solidFill>
                <a:sysClr val="windowText" lastClr="000000"/>
              </a:solidFill>
            </a:rPr>
            <a:t>de la collectivité en matière de </a:t>
          </a:r>
          <a:r>
            <a:rPr lang="fr-FR" sz="1200" b="1" baseline="0">
              <a:solidFill>
                <a:sysClr val="windowText" lastClr="000000"/>
              </a:solidFill>
            </a:rPr>
            <a:t>Numérique Responsable</a:t>
          </a:r>
          <a:r>
            <a:rPr lang="fr-FR" sz="1200" baseline="0">
              <a:solidFill>
                <a:sysClr val="windowText" lastClr="000000"/>
              </a:solidFill>
            </a:rPr>
            <a:t>. Il est structuré </a:t>
          </a:r>
          <a:r>
            <a:rPr lang="fr-FR" sz="1200" b="1" baseline="0">
              <a:solidFill>
                <a:sysClr val="windowText" lastClr="000000"/>
              </a:solidFill>
            </a:rPr>
            <a:t>sous format de questionnaire </a:t>
          </a:r>
          <a:r>
            <a:rPr lang="fr-FR" sz="1200" baseline="0">
              <a:solidFill>
                <a:sysClr val="windowText" lastClr="000000"/>
              </a:solidFill>
            </a:rPr>
            <a:t>pour faciliter les </a:t>
          </a:r>
          <a:r>
            <a:rPr lang="fr-FR" sz="1200" b="1" baseline="0">
              <a:solidFill>
                <a:sysClr val="windowText" lastClr="000000"/>
              </a:solidFill>
            </a:rPr>
            <a:t>entretiens bilatéraux </a:t>
          </a:r>
          <a:r>
            <a:rPr lang="fr-FR" sz="1200" baseline="0">
              <a:solidFill>
                <a:sysClr val="windowText" lastClr="000000"/>
              </a:solidFill>
            </a:rPr>
            <a:t>et dispose d'une </a:t>
          </a:r>
          <a:r>
            <a:rPr lang="fr-FR" sz="1200" b="1" baseline="0">
              <a:solidFill>
                <a:sysClr val="windowText" lastClr="000000"/>
              </a:solidFill>
            </a:rPr>
            <a:t>grille de notation </a:t>
          </a:r>
          <a:r>
            <a:rPr lang="fr-FR" sz="1200" baseline="0">
              <a:solidFill>
                <a:sysClr val="windowText" lastClr="000000"/>
              </a:solidFill>
            </a:rPr>
            <a:t>pour obtenir une </a:t>
          </a:r>
          <a:r>
            <a:rPr lang="fr-FR" sz="1200" b="1" baseline="0">
              <a:solidFill>
                <a:sysClr val="windowText" lastClr="000000"/>
              </a:solidFill>
            </a:rPr>
            <a:t>note de maturité</a:t>
          </a:r>
          <a:r>
            <a:rPr lang="fr-FR" sz="1200" baseline="0">
              <a:solidFill>
                <a:sysClr val="windowText" lastClr="000000"/>
              </a:solidFill>
            </a:rPr>
            <a:t>.</a:t>
          </a:r>
        </a:p>
        <a:p>
          <a:pPr algn="l"/>
          <a:endParaRPr lang="fr-FR" sz="1200" baseline="0">
            <a:solidFill>
              <a:sysClr val="windowText" lastClr="000000"/>
            </a:solidFill>
          </a:endParaRPr>
        </a:p>
        <a:p>
          <a:pPr algn="l"/>
          <a:r>
            <a:rPr lang="fr-FR" sz="1200" baseline="0">
              <a:solidFill>
                <a:sysClr val="windowText" lastClr="000000"/>
              </a:solidFill>
            </a:rPr>
            <a:t>L'outil contient </a:t>
          </a:r>
          <a:r>
            <a:rPr lang="fr-FR" sz="1200" b="1" baseline="0">
              <a:solidFill>
                <a:sysClr val="windowText" lastClr="000000"/>
              </a:solidFill>
            </a:rPr>
            <a:t>212 questions en total </a:t>
          </a:r>
          <a:r>
            <a:rPr lang="fr-FR" sz="1200" baseline="0">
              <a:solidFill>
                <a:sysClr val="windowText" lastClr="000000"/>
              </a:solidFill>
            </a:rPr>
            <a:t>avec </a:t>
          </a:r>
          <a:r>
            <a:rPr lang="fr-FR" sz="1200" b="1" baseline="0">
              <a:solidFill>
                <a:sysClr val="windowText" lastClr="000000"/>
              </a:solidFill>
            </a:rPr>
            <a:t>150 questions fermées </a:t>
          </a:r>
          <a:r>
            <a:rPr lang="fr-FR" sz="1200" baseline="0">
              <a:solidFill>
                <a:sysClr val="windowText" lastClr="000000"/>
              </a:solidFill>
            </a:rPr>
            <a:t>et </a:t>
          </a:r>
          <a:r>
            <a:rPr lang="fr-FR" sz="1200" b="1" baseline="0">
              <a:solidFill>
                <a:sysClr val="windowText" lastClr="000000"/>
              </a:solidFill>
            </a:rPr>
            <a:t>62 questions ouvertes</a:t>
          </a:r>
          <a:r>
            <a:rPr lang="fr-FR" sz="1200" baseline="0">
              <a:solidFill>
                <a:sysClr val="windowText" lastClr="000000"/>
              </a:solidFill>
            </a:rPr>
            <a:t>. </a:t>
          </a:r>
        </a:p>
        <a:p>
          <a:pPr lvl="0" algn="l"/>
          <a:r>
            <a:rPr lang="fr-FR" sz="1200" baseline="0">
              <a:solidFill>
                <a:sysClr val="windowText" lastClr="000000"/>
              </a:solidFill>
            </a:rPr>
            <a:t>- Les questions fermées disposent d'une </a:t>
          </a:r>
          <a:r>
            <a:rPr lang="fr-FR" sz="1200" b="0" baseline="0">
              <a:solidFill>
                <a:sysClr val="windowText" lastClr="000000"/>
              </a:solidFill>
            </a:rPr>
            <a:t>grille de notation de 0 à 4 </a:t>
          </a:r>
          <a:r>
            <a:rPr lang="fr-FR" sz="1200" baseline="0">
              <a:solidFill>
                <a:sysClr val="windowText" lastClr="000000"/>
              </a:solidFill>
            </a:rPr>
            <a:t>permettant de calculer une note de maturité ;</a:t>
          </a:r>
        </a:p>
        <a:p>
          <a:pPr lvl="0" algn="l"/>
          <a:r>
            <a:rPr lang="fr-FR" sz="1200" baseline="0">
              <a:solidFill>
                <a:sysClr val="windowText" lastClr="000000"/>
              </a:solidFill>
            </a:rPr>
            <a:t>- Les questions ouvertes complètent les questions fermées et permettent d'alimenter le diagnostic avec du contenu qualitatif. Les réponses de ces questions ne seront pas prises en compte dans le calcul de note de maturité.</a:t>
          </a:r>
        </a:p>
        <a:p>
          <a:pPr algn="l"/>
          <a:endParaRPr lang="fr-FR" sz="1200" baseline="0">
            <a:solidFill>
              <a:sysClr val="windowText" lastClr="000000"/>
            </a:solidFill>
          </a:endParaRPr>
        </a:p>
        <a:p>
          <a:pPr algn="l"/>
          <a:r>
            <a:rPr lang="fr-FR" sz="1200" baseline="0">
              <a:solidFill>
                <a:sysClr val="windowText" lastClr="000000"/>
              </a:solidFill>
            </a:rPr>
            <a:t>Les questions de cet outil s'adressent à </a:t>
          </a:r>
          <a:r>
            <a:rPr lang="fr-FR" sz="1200" b="1" baseline="0">
              <a:solidFill>
                <a:sysClr val="windowText" lastClr="000000"/>
              </a:solidFill>
            </a:rPr>
            <a:t>différents profils qui sont à identifier par la collectivité</a:t>
          </a:r>
          <a:r>
            <a:rPr lang="fr-FR" sz="1200" baseline="0">
              <a:solidFill>
                <a:sysClr val="windowText" lastClr="000000"/>
              </a:solidFill>
            </a:rPr>
            <a:t> (cf. recommandation dans le support du pas à pas méthodologique mis à disposition par l'ANCT), et sont structurées autour de </a:t>
          </a:r>
          <a:r>
            <a:rPr lang="fr-FR" sz="1200" b="1" baseline="0">
              <a:solidFill>
                <a:sysClr val="windowText" lastClr="000000"/>
              </a:solidFill>
            </a:rPr>
            <a:t>7 dimensions du Numérique Responsable </a:t>
          </a:r>
          <a:r>
            <a:rPr lang="fr-FR" sz="1200" baseline="0">
              <a:solidFill>
                <a:sysClr val="windowText" lastClr="000000"/>
              </a:solidFill>
            </a:rPr>
            <a:t>:</a:t>
          </a:r>
        </a:p>
        <a:p>
          <a:pPr lvl="1" algn="l"/>
          <a:r>
            <a:rPr lang="fr-FR" sz="1200" b="1" baseline="0">
              <a:solidFill>
                <a:sysClr val="windowText" lastClr="000000"/>
              </a:solidFill>
              <a:latin typeface="+mn-lt"/>
              <a:ea typeface="+mn-ea"/>
              <a:cs typeface="+mn-cs"/>
            </a:rPr>
            <a:t>1. Stratégie et Gouvernance </a:t>
          </a:r>
        </a:p>
        <a:p>
          <a:pPr lvl="1" algn="l"/>
          <a:r>
            <a:rPr lang="fr-FR" sz="1200" b="1" baseline="0">
              <a:solidFill>
                <a:sysClr val="windowText" lastClr="000000"/>
              </a:solidFill>
              <a:latin typeface="+mn-lt"/>
              <a:ea typeface="+mn-ea"/>
              <a:cs typeface="+mn-cs"/>
            </a:rPr>
            <a:t>2. Mesure </a:t>
          </a:r>
        </a:p>
        <a:p>
          <a:pPr lvl="1" algn="l"/>
          <a:r>
            <a:rPr lang="fr-FR" sz="1200" b="1" baseline="0">
              <a:solidFill>
                <a:sysClr val="windowText" lastClr="000000"/>
              </a:solidFill>
              <a:latin typeface="+mn-lt"/>
              <a:ea typeface="+mn-ea"/>
              <a:cs typeface="+mn-cs"/>
            </a:rPr>
            <a:t>3. Achat </a:t>
          </a:r>
        </a:p>
        <a:p>
          <a:pPr lvl="1" algn="l"/>
          <a:r>
            <a:rPr lang="fr-FR" sz="1200" b="1" baseline="0">
              <a:solidFill>
                <a:sysClr val="windowText" lastClr="000000"/>
              </a:solidFill>
              <a:latin typeface="+mn-lt"/>
              <a:ea typeface="+mn-ea"/>
              <a:cs typeface="+mn-cs"/>
            </a:rPr>
            <a:t>4. Transformation de l'IT </a:t>
          </a:r>
        </a:p>
        <a:p>
          <a:pPr lvl="1" algn="l"/>
          <a:r>
            <a:rPr lang="fr-FR" sz="1200" b="1" baseline="0">
              <a:solidFill>
                <a:sysClr val="windowText" lastClr="000000"/>
              </a:solidFill>
              <a:latin typeface="+mn-lt"/>
              <a:ea typeface="+mn-ea"/>
              <a:cs typeface="+mn-cs"/>
            </a:rPr>
            <a:t>5. DEEE et Economie circulaire </a:t>
          </a:r>
        </a:p>
        <a:p>
          <a:pPr lvl="1" algn="l"/>
          <a:r>
            <a:rPr lang="fr-FR" sz="1200" b="1" baseline="0">
              <a:solidFill>
                <a:sysClr val="windowText" lastClr="000000"/>
              </a:solidFill>
              <a:latin typeface="+mn-lt"/>
              <a:ea typeface="+mn-ea"/>
              <a:cs typeface="+mn-cs"/>
            </a:rPr>
            <a:t>6. Sensibilisation </a:t>
          </a:r>
        </a:p>
        <a:p>
          <a:pPr lvl="1" algn="l"/>
          <a:r>
            <a:rPr lang="fr-FR" sz="1200" b="1" baseline="0">
              <a:solidFill>
                <a:sysClr val="windowText" lastClr="000000"/>
              </a:solidFill>
              <a:latin typeface="+mn-lt"/>
              <a:ea typeface="+mn-ea"/>
              <a:cs typeface="+mn-cs"/>
            </a:rPr>
            <a:t>7. IT pour une Collectivité Eco-responsable </a:t>
          </a:r>
        </a:p>
        <a:p>
          <a:pPr algn="l"/>
          <a:endParaRPr lang="fr-FR" sz="1200" baseline="0">
            <a:solidFill>
              <a:sysClr val="windowText" lastClr="000000"/>
            </a:solidFill>
          </a:endParaRPr>
        </a:p>
        <a:p>
          <a:pPr algn="l"/>
          <a:r>
            <a:rPr lang="fr-FR" sz="1200" baseline="0">
              <a:solidFill>
                <a:sysClr val="windowText" lastClr="000000"/>
              </a:solidFill>
            </a:rPr>
            <a:t>L'ensemble des questions est structuré en </a:t>
          </a:r>
          <a:r>
            <a:rPr lang="fr-FR" sz="1200" b="1" baseline="0">
              <a:solidFill>
                <a:sysClr val="windowText" lastClr="000000"/>
              </a:solidFill>
            </a:rPr>
            <a:t>3 niveaux </a:t>
          </a:r>
          <a:r>
            <a:rPr lang="fr-FR" sz="1200" baseline="0">
              <a:solidFill>
                <a:sysClr val="windowText" lastClr="000000"/>
              </a:solidFill>
            </a:rPr>
            <a:t>permettant à la collectivité de choisir les questions adéquates à poser </a:t>
          </a:r>
          <a:r>
            <a:rPr lang="fr-FR" sz="1200" b="1" baseline="0">
              <a:solidFill>
                <a:sysClr val="windowText" lastClr="000000"/>
              </a:solidFill>
            </a:rPr>
            <a:t>en fonction de son niveau de maturité en matière de Numérique Responsable</a:t>
          </a:r>
          <a:r>
            <a:rPr lang="fr-FR" sz="1200" baseline="0">
              <a:solidFill>
                <a:sysClr val="windowText" lastClr="000000"/>
              </a:solidFill>
            </a:rPr>
            <a:t>. Pour une collectivité qui est au début de sa démarche, il est recommandé de se focaliser sur les questions de niveau 1 et 2. Pour une collectivité qui possède déjà une certaine maturité sur le sujet, il est recommandé d'aller plus loin avec les questions de niveau 3.</a:t>
          </a:r>
        </a:p>
      </xdr:txBody>
    </xdr:sp>
    <xdr:clientData/>
  </xdr:twoCellAnchor>
  <xdr:twoCellAnchor>
    <xdr:from>
      <xdr:col>0</xdr:col>
      <xdr:colOff>0</xdr:colOff>
      <xdr:row>25</xdr:row>
      <xdr:rowOff>20954</xdr:rowOff>
    </xdr:from>
    <xdr:to>
      <xdr:col>1</xdr:col>
      <xdr:colOff>20618</xdr:colOff>
      <xdr:row>70</xdr:row>
      <xdr:rowOff>19049</xdr:rowOff>
    </xdr:to>
    <xdr:sp macro="" textlink="">
      <xdr:nvSpPr>
        <xdr:cNvPr id="558" name="Rectangle 2">
          <a:extLst>
            <a:ext uri="{FF2B5EF4-FFF2-40B4-BE49-F238E27FC236}">
              <a16:creationId xmlns:a16="http://schemas.microsoft.com/office/drawing/2014/main" id="{109546AA-55FE-439D-A590-2D860B83AFB7}"/>
            </a:ext>
          </a:extLst>
        </xdr:cNvPr>
        <xdr:cNvSpPr/>
      </xdr:nvSpPr>
      <xdr:spPr>
        <a:xfrm>
          <a:off x="0" y="5421629"/>
          <a:ext cx="10221893" cy="796099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400" b="1">
              <a:solidFill>
                <a:schemeClr val="accent6">
                  <a:lumMod val="75000"/>
                </a:schemeClr>
              </a:solidFill>
            </a:rPr>
            <a:t>Dans cet outil de diagnostic</a:t>
          </a:r>
          <a:r>
            <a:rPr lang="fr-FR" sz="1400" b="1" baseline="0">
              <a:solidFill>
                <a:schemeClr val="accent6">
                  <a:lumMod val="75000"/>
                </a:schemeClr>
              </a:solidFill>
            </a:rPr>
            <a:t>, vous trouverez 4 onglets :</a:t>
          </a:r>
        </a:p>
        <a:p>
          <a:pPr algn="l"/>
          <a:endParaRPr lang="fr-FR" sz="1400" b="1" baseline="0">
            <a:solidFill>
              <a:schemeClr val="accent6">
                <a:lumMod val="75000"/>
              </a:schemeClr>
            </a:solidFill>
          </a:endParaRPr>
        </a:p>
        <a:p>
          <a:pPr marL="0" indent="0" algn="l"/>
          <a:r>
            <a:rPr lang="fr-FR" sz="1400" b="1" u="sng" baseline="0">
              <a:solidFill>
                <a:schemeClr val="tx1">
                  <a:lumMod val="75000"/>
                  <a:lumOff val="25000"/>
                </a:schemeClr>
              </a:solidFill>
              <a:latin typeface="+mn-lt"/>
              <a:ea typeface="+mn-ea"/>
              <a:cs typeface="+mn-cs"/>
            </a:rPr>
            <a:t>0. L'Onglet "Mode d'emploi" </a:t>
          </a:r>
        </a:p>
        <a:p>
          <a:pPr marL="0" indent="0" algn="l"/>
          <a:r>
            <a:rPr lang="fr-FR" sz="1200" baseline="0">
              <a:solidFill>
                <a:sysClr val="windowText" lastClr="000000"/>
              </a:solidFill>
              <a:latin typeface="+mn-lt"/>
              <a:ea typeface="+mn-ea"/>
              <a:cs typeface="+mn-cs"/>
            </a:rPr>
            <a:t>Il détaille la structure et le fonctionnement de l'outil (présent onglet)</a:t>
          </a:r>
        </a:p>
        <a:p>
          <a:pPr marL="0" indent="0" algn="l"/>
          <a:endParaRPr lang="fr-FR" sz="1200" baseline="0">
            <a:solidFill>
              <a:sysClr val="windowText" lastClr="000000"/>
            </a:solidFill>
          </a:endParaRPr>
        </a:p>
        <a:p>
          <a:pPr algn="l"/>
          <a:r>
            <a:rPr lang="fr-FR" sz="1400" b="1" u="sng" baseline="0">
              <a:solidFill>
                <a:schemeClr val="tx1">
                  <a:lumMod val="75000"/>
                  <a:lumOff val="25000"/>
                </a:schemeClr>
              </a:solidFill>
            </a:rPr>
            <a:t>1 . L'onglet "Questionnaire d'entretien" </a:t>
          </a:r>
        </a:p>
        <a:p>
          <a:pPr algn="l"/>
          <a:r>
            <a:rPr lang="fr-FR" sz="1200" baseline="0">
              <a:solidFill>
                <a:sysClr val="windowText" lastClr="000000"/>
              </a:solidFill>
            </a:rPr>
            <a:t>- Section "</a:t>
          </a:r>
          <a:r>
            <a:rPr lang="fr-FR" sz="1200" b="1" baseline="0">
              <a:solidFill>
                <a:sysClr val="windowText" lastClr="000000"/>
              </a:solidFill>
            </a:rPr>
            <a:t>Grille d'entretien</a:t>
          </a:r>
          <a:r>
            <a:rPr lang="fr-FR" sz="1200" baseline="0">
              <a:solidFill>
                <a:sysClr val="windowText" lastClr="000000"/>
              </a:solidFill>
            </a:rPr>
            <a:t>" : Elle contient des questions à renseigner, via des entretiens au sein de la collectivité, et qui peuvent être filtrées en fonction de leurs dimensions et de leurs niveaux.</a:t>
          </a:r>
        </a:p>
        <a:p>
          <a:pPr algn="l"/>
          <a:r>
            <a:rPr lang="fr-FR" sz="1200" baseline="0">
              <a:solidFill>
                <a:sysClr val="windowText" lastClr="000000"/>
              </a:solidFill>
            </a:rPr>
            <a:t>- Section "</a:t>
          </a:r>
          <a:r>
            <a:rPr lang="fr-FR" sz="1200" b="1" baseline="0">
              <a:solidFill>
                <a:sysClr val="windowText" lastClr="000000"/>
              </a:solidFill>
            </a:rPr>
            <a:t>Profil des interviewés</a:t>
          </a:r>
          <a:r>
            <a:rPr lang="fr-FR" sz="1200" baseline="0">
              <a:solidFill>
                <a:sysClr val="windowText" lastClr="000000"/>
              </a:solidFill>
            </a:rPr>
            <a:t>" : Les profils 1 à 6 (voire plus) sont à compléter par la collectivité en amont des entretiens. Ces colonnes vous aident à identifier les interlocuteurs à interroger selon les questions  (en mettant un "x" dans les colonnes de la présente section). En filtrant la colonne d'un profil, vous avez l'ensemble des questions qui lui correspondent. Cela vous permet d'en extraire, si vous le souhaitez, une trame d'entretien sur mesure pour chaque interlocuteur interrogé. Attention : il est recommandé de ne poser une question qu'à 1 voire 2 interlocuteurs maximum.</a:t>
          </a:r>
        </a:p>
        <a:p>
          <a:pPr algn="l"/>
          <a:r>
            <a:rPr lang="fr-FR" sz="1200" baseline="0">
              <a:solidFill>
                <a:sysClr val="windowText" lastClr="000000"/>
              </a:solidFill>
            </a:rPr>
            <a:t>- Section "</a:t>
          </a:r>
          <a:r>
            <a:rPr lang="fr-FR" sz="1200" b="1" baseline="0">
              <a:solidFill>
                <a:sysClr val="windowText" lastClr="000000"/>
              </a:solidFill>
            </a:rPr>
            <a:t>Grille de notation</a:t>
          </a:r>
          <a:r>
            <a:rPr lang="fr-FR" sz="1200" baseline="0">
              <a:solidFill>
                <a:sysClr val="windowText" lastClr="000000"/>
              </a:solidFill>
            </a:rPr>
            <a:t>" : La grille de notation est formalisée sur une échelle de 0 à 4 (4 étant la maturité la plus élevée) et chaque note correspond à une réponse.</a:t>
          </a:r>
        </a:p>
        <a:p>
          <a:pPr algn="l"/>
          <a:r>
            <a:rPr lang="fr-FR" sz="1200" baseline="0">
              <a:solidFill>
                <a:sysClr val="windowText" lastClr="000000"/>
              </a:solidFill>
            </a:rPr>
            <a:t>- Section "</a:t>
          </a:r>
          <a:r>
            <a:rPr lang="fr-FR" sz="1200" b="1" baseline="0">
              <a:solidFill>
                <a:sysClr val="windowText" lastClr="000000"/>
              </a:solidFill>
            </a:rPr>
            <a:t>Notes &amp; Réponses</a:t>
          </a:r>
          <a:r>
            <a:rPr lang="fr-FR" sz="1200" baseline="0">
              <a:solidFill>
                <a:sysClr val="windowText" lastClr="000000"/>
              </a:solidFill>
            </a:rPr>
            <a:t>" : Les colonnes "Note (0 à 4)" permettent d'enregistrer les notes, qui seront nécessaires pour le calcul de note de maturité. Un système de validation de données est mise en place dans ces colonnes, donc seul 1 chiffre de 0 à 4 selon la réponse sélectionnée, ou "N/A" s'ils n'est pas possible de répondre à une question, peuvent y être enregistrés. Vous pouvez également sélectionner une note à l'aide de la liste déroulante.</a:t>
          </a:r>
        </a:p>
        <a:p>
          <a:pPr algn="l"/>
          <a:r>
            <a:rPr lang="fr-FR" sz="1200" baseline="0">
              <a:solidFill>
                <a:sysClr val="windowText" lastClr="000000"/>
              </a:solidFill>
            </a:rPr>
            <a:t>Les colonnes "Réponse aux questions ouvertes / Commentaire" permettent quant à elle de renseigner les réponses aux questions ouvertes. Il est recommandé d'utiliser également cette colonne pour prendre des notes complémentaires concernant les questions fermées faisant l'objet d'une notation.</a:t>
          </a:r>
        </a:p>
        <a:p>
          <a:pPr algn="l"/>
          <a:endParaRPr lang="fr-FR" sz="1200" baseline="0">
            <a:solidFill>
              <a:sysClr val="windowText" lastClr="000000"/>
            </a:solidFill>
          </a:endParaRPr>
        </a:p>
        <a:p>
          <a:pPr algn="l"/>
          <a:r>
            <a:rPr lang="fr-FR" sz="1400" b="1" u="sng" baseline="0">
              <a:solidFill>
                <a:schemeClr val="tx1">
                  <a:lumMod val="75000"/>
                  <a:lumOff val="25000"/>
                </a:schemeClr>
              </a:solidFill>
              <a:latin typeface="+mn-lt"/>
              <a:ea typeface="+mn-ea"/>
              <a:cs typeface="+mn-cs"/>
            </a:rPr>
            <a:t>2. L'onglet "Note de maturité" </a:t>
          </a:r>
          <a:endParaRPr lang="fr-FR" sz="1400" b="1" baseline="0">
            <a:solidFill>
              <a:schemeClr val="accent6">
                <a:lumMod val="75000"/>
              </a:schemeClr>
            </a:solidFill>
          </a:endParaRPr>
        </a:p>
        <a:p>
          <a:pPr algn="l"/>
          <a:r>
            <a:rPr lang="fr-FR" sz="1200" baseline="0">
              <a:solidFill>
                <a:sysClr val="windowText" lastClr="000000"/>
              </a:solidFill>
            </a:rPr>
            <a:t>- Une fois l'ensemble des entretiens réalisé, cet onglet permet de visualiser automatiquement la note de maturité par dimension sous forme de tableau et de graphique radar, ainsi que la note de maturité globale de la collectivité.</a:t>
          </a:r>
        </a:p>
        <a:p>
          <a:pPr algn="l"/>
          <a:r>
            <a:rPr lang="fr-FR" sz="1200" baseline="0">
              <a:solidFill>
                <a:sysClr val="windowText" lastClr="000000"/>
              </a:solidFill>
            </a:rPr>
            <a:t>- Un système de pondération est mis en place dans le calcul afin de différencier les poids des questions dans le calcul des notes. Les poids des questions du niveau 1, 2 et 3 sont respectivement 1, 0,75 et 0,5.</a:t>
          </a:r>
        </a:p>
        <a:p>
          <a:pPr algn="l"/>
          <a:r>
            <a:rPr lang="fr-FR" sz="1200" baseline="0">
              <a:solidFill>
                <a:sysClr val="windowText" lastClr="000000"/>
              </a:solidFill>
            </a:rPr>
            <a:t>- Le détail du calcul se trouve dans les colonnes cachées de l'onglet (colonnes B à L), il est recommandé de ne pas modifier ces colonnes afin de ne pas risquer de modifier le calcul.</a:t>
          </a:r>
        </a:p>
        <a:p>
          <a:pPr algn="l"/>
          <a:r>
            <a:rPr lang="fr-FR" sz="1200" baseline="0">
              <a:solidFill>
                <a:sysClr val="windowText" lastClr="000000"/>
              </a:solidFill>
            </a:rPr>
            <a:t>- Les significations des notes sont présentées dans le tableau ci-dessous.</a:t>
          </a:r>
        </a:p>
        <a:p>
          <a:pPr algn="l"/>
          <a:endParaRPr lang="fr-FR" sz="1400" b="1" baseline="0">
            <a:solidFill>
              <a:schemeClr val="accent6">
                <a:lumMod val="75000"/>
              </a:schemeClr>
            </a:solidFill>
          </a:endParaRPr>
        </a:p>
        <a:p>
          <a:pPr algn="l"/>
          <a:endParaRPr lang="fr-FR" sz="1400" b="1" baseline="0">
            <a:solidFill>
              <a:schemeClr val="accent6">
                <a:lumMod val="75000"/>
              </a:schemeClr>
            </a:solidFill>
          </a:endParaRPr>
        </a:p>
        <a:p>
          <a:pPr algn="l"/>
          <a:endParaRPr lang="fr-FR" sz="1400" b="1" baseline="0">
            <a:solidFill>
              <a:schemeClr val="accent6">
                <a:lumMod val="75000"/>
              </a:schemeClr>
            </a:solidFill>
          </a:endParaRPr>
        </a:p>
        <a:p>
          <a:pPr marL="0" indent="0" algn="l"/>
          <a:endParaRPr lang="fr-FR" sz="1400" b="1" u="sng" baseline="0">
            <a:solidFill>
              <a:schemeClr val="tx1">
                <a:lumMod val="75000"/>
                <a:lumOff val="25000"/>
              </a:schemeClr>
            </a:solidFill>
            <a:latin typeface="+mn-lt"/>
            <a:ea typeface="+mn-ea"/>
            <a:cs typeface="+mn-cs"/>
          </a:endParaRPr>
        </a:p>
        <a:p>
          <a:pPr marL="0" indent="0" algn="l"/>
          <a:r>
            <a:rPr lang="fr-FR" sz="1400" b="1" u="sng" baseline="0">
              <a:solidFill>
                <a:schemeClr val="tx1">
                  <a:lumMod val="75000"/>
                  <a:lumOff val="25000"/>
                </a:schemeClr>
              </a:solidFill>
              <a:latin typeface="+mn-lt"/>
              <a:ea typeface="+mn-ea"/>
              <a:cs typeface="+mn-cs"/>
            </a:rPr>
            <a:t>3. L'onglet "Glossaire" </a:t>
          </a:r>
        </a:p>
        <a:p>
          <a:pPr algn="l"/>
          <a:r>
            <a:rPr lang="fr-FR" sz="1200" baseline="0">
              <a:solidFill>
                <a:sysClr val="windowText" lastClr="000000"/>
              </a:solidFill>
            </a:rPr>
            <a:t>- Cet onglet présente l'ensemble des acronymes utilisés dans le présent outil.</a:t>
          </a:r>
        </a:p>
        <a:p>
          <a:pPr algn="l"/>
          <a:endParaRPr lang="fr-FR" sz="1200" baseline="0">
            <a:solidFill>
              <a:sysClr val="windowText" lastClr="000000"/>
            </a:solidFill>
          </a:endParaRPr>
        </a:p>
        <a:p>
          <a:pPr algn="l"/>
          <a:r>
            <a:rPr lang="fr-FR" sz="1400" b="1" baseline="0">
              <a:solidFill>
                <a:schemeClr val="accent2"/>
              </a:solidFill>
            </a:rPr>
            <a:t>Certaines actions doivent être réalisées par les référents Numérique Responsable en amont des entretiens :</a:t>
          </a:r>
        </a:p>
        <a:p>
          <a:pPr algn="l"/>
          <a:r>
            <a:rPr lang="fr-FR" sz="1200" baseline="0">
              <a:solidFill>
                <a:sysClr val="windowText" lastClr="000000"/>
              </a:solidFill>
            </a:rPr>
            <a:t>- Remplacer les profils (cases F3 à L3 dans l'onglet "Questionnaire d'entretien") par les parties prenantes à interroger identifiées par la collectivité (ex: DSI, Direction des achats, etc.). Compléter avec d'autres profils si besoin en ajoutant plus de colonnes</a:t>
          </a:r>
        </a:p>
        <a:p>
          <a:pPr algn="l"/>
          <a:r>
            <a:rPr lang="fr-FR" sz="1200" baseline="0">
              <a:solidFill>
                <a:sysClr val="windowText" lastClr="000000"/>
              </a:solidFill>
            </a:rPr>
            <a:t>- Identifier pour chaque question le ou les profils pertinents pour y répondre, en mettant un "x" dans les colonnes de la section "Profil des interviewés"</a:t>
          </a:r>
        </a:p>
        <a:p>
          <a:pPr algn="l"/>
          <a:r>
            <a:rPr lang="fr-FR" sz="1200" baseline="0">
              <a:solidFill>
                <a:sysClr val="windowText" lastClr="000000"/>
              </a:solidFill>
            </a:rPr>
            <a:t>- Prendre connaissance de l'ensemble des questions et les réponses associées</a:t>
          </a:r>
        </a:p>
        <a:p>
          <a:pPr algn="l"/>
          <a:r>
            <a:rPr lang="fr-FR" sz="1200" baseline="0">
              <a:solidFill>
                <a:sysClr val="windowText" lastClr="000000"/>
              </a:solidFill>
            </a:rPr>
            <a:t>- Se familiariser avec le fonctionnement de l'outil, apprendre à le manipuler, et adapter l'outil si besoin pour être plus à l'aise lors des entretiens</a:t>
          </a:r>
        </a:p>
      </xdr:txBody>
    </xdr:sp>
    <xdr:clientData/>
  </xdr:twoCellAnchor>
  <xdr:twoCellAnchor editAs="oneCell">
    <xdr:from>
      <xdr:col>0</xdr:col>
      <xdr:colOff>1255059</xdr:colOff>
      <xdr:row>55</xdr:row>
      <xdr:rowOff>130771</xdr:rowOff>
    </xdr:from>
    <xdr:to>
      <xdr:col>0</xdr:col>
      <xdr:colOff>8666152</xdr:colOff>
      <xdr:row>58</xdr:row>
      <xdr:rowOff>154914</xdr:rowOff>
    </xdr:to>
    <xdr:pic>
      <xdr:nvPicPr>
        <xdr:cNvPr id="104" name="Picture 3">
          <a:extLst>
            <a:ext uri="{FF2B5EF4-FFF2-40B4-BE49-F238E27FC236}">
              <a16:creationId xmlns:a16="http://schemas.microsoft.com/office/drawing/2014/main" id="{05B98808-27A2-49D8-8A49-45427F9C614C}"/>
            </a:ext>
          </a:extLst>
        </xdr:cNvPr>
        <xdr:cNvPicPr>
          <a:picLocks noChangeAspect="1"/>
        </xdr:cNvPicPr>
      </xdr:nvPicPr>
      <xdr:blipFill>
        <a:blip xmlns:r="http://schemas.openxmlformats.org/officeDocument/2006/relationships" r:embed="rId1"/>
        <a:stretch>
          <a:fillRect/>
        </a:stretch>
      </xdr:blipFill>
      <xdr:spPr>
        <a:xfrm>
          <a:off x="1255059" y="10960696"/>
          <a:ext cx="7414903" cy="5842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19</xdr:col>
      <xdr:colOff>232035</xdr:colOff>
      <xdr:row>5</xdr:row>
      <xdr:rowOff>31403</xdr:rowOff>
    </xdr:from>
    <xdr:to>
      <xdr:col>25</xdr:col>
      <xdr:colOff>521772</xdr:colOff>
      <xdr:row>25</xdr:row>
      <xdr:rowOff>52341</xdr:rowOff>
    </xdr:to>
    <xdr:graphicFrame macro="">
      <xdr:nvGraphicFramePr>
        <xdr:cNvPr id="178" name="Chart 3">
          <a:extLst>
            <a:ext uri="{FF2B5EF4-FFF2-40B4-BE49-F238E27FC236}">
              <a16:creationId xmlns:a16="http://schemas.microsoft.com/office/drawing/2014/main" id="{A2048029-0A55-419B-B3EA-6053EE504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378191</xdr:colOff>
      <xdr:row>4</xdr:row>
      <xdr:rowOff>135358</xdr:rowOff>
    </xdr:from>
    <xdr:to>
      <xdr:col>26</xdr:col>
      <xdr:colOff>375782</xdr:colOff>
      <xdr:row>25</xdr:row>
      <xdr:rowOff>129275</xdr:rowOff>
    </xdr:to>
    <xdr:pic>
      <xdr:nvPicPr>
        <xdr:cNvPr id="177" name="Picture 13">
          <a:extLst>
            <a:ext uri="{FF2B5EF4-FFF2-40B4-BE49-F238E27FC236}">
              <a16:creationId xmlns:a16="http://schemas.microsoft.com/office/drawing/2014/main" id="{CE9E0C9E-B127-40C8-84EA-365EBF7AE43B}"/>
            </a:ext>
          </a:extLst>
        </xdr:cNvPr>
        <xdr:cNvPicPr>
          <a:picLocks noChangeAspect="1"/>
        </xdr:cNvPicPr>
      </xdr:nvPicPr>
      <xdr:blipFill>
        <a:blip xmlns:r="http://schemas.openxmlformats.org/officeDocument/2006/relationships" r:embed="rId2">
          <a:alphaModFix amt="11000"/>
        </a:blip>
        <a:stretch>
          <a:fillRect/>
        </a:stretch>
      </xdr:blipFill>
      <xdr:spPr>
        <a:xfrm rot="1420955">
          <a:off x="6397991" y="878308"/>
          <a:ext cx="4874391" cy="3822967"/>
        </a:xfrm>
        <a:prstGeom prst="rect">
          <a:avLst/>
        </a:prstGeom>
      </xdr:spPr>
    </xdr:pic>
    <xdr:clientData/>
  </xdr:twoCellAnchor>
  <xdr:twoCellAnchor>
    <xdr:from>
      <xdr:col>17</xdr:col>
      <xdr:colOff>492274</xdr:colOff>
      <xdr:row>2</xdr:row>
      <xdr:rowOff>21632</xdr:rowOff>
    </xdr:from>
    <xdr:to>
      <xdr:col>26</xdr:col>
      <xdr:colOff>590902</xdr:colOff>
      <xdr:row>27</xdr:row>
      <xdr:rowOff>17862</xdr:rowOff>
    </xdr:to>
    <xdr:grpSp>
      <xdr:nvGrpSpPr>
        <xdr:cNvPr id="169" name="Group 4">
          <a:extLst>
            <a:ext uri="{FF2B5EF4-FFF2-40B4-BE49-F238E27FC236}">
              <a16:creationId xmlns:a16="http://schemas.microsoft.com/office/drawing/2014/main" id="{BC29C4C2-D9F1-4F0F-BEA7-72257628682B}"/>
            </a:ext>
          </a:extLst>
        </xdr:cNvPr>
        <xdr:cNvGrpSpPr/>
      </xdr:nvGrpSpPr>
      <xdr:grpSpPr>
        <a:xfrm>
          <a:off x="5902474" y="398822"/>
          <a:ext cx="5581218" cy="4556800"/>
          <a:chOff x="279128" y="3635896"/>
          <a:chExt cx="5594553" cy="4535343"/>
        </a:xfrm>
      </xdr:grpSpPr>
      <xdr:sp macro="" textlink="">
        <xdr:nvSpPr>
          <xdr:cNvPr id="170" name="TextBox 5">
            <a:extLst>
              <a:ext uri="{FF2B5EF4-FFF2-40B4-BE49-F238E27FC236}">
                <a16:creationId xmlns:a16="http://schemas.microsoft.com/office/drawing/2014/main" id="{21308F87-020C-466A-8592-9CAB5D3CF934}"/>
              </a:ext>
            </a:extLst>
          </xdr:cNvPr>
          <xdr:cNvSpPr txBox="1"/>
        </xdr:nvSpPr>
        <xdr:spPr>
          <a:xfrm>
            <a:off x="2727400" y="3635896"/>
            <a:ext cx="1571159" cy="337487"/>
          </a:xfrm>
          <a:prstGeom prst="rect">
            <a:avLst/>
          </a:prstGeom>
          <a:noFill/>
          <a:ln w="9525" cmpd="sng">
            <a:noFill/>
          </a:ln>
          <a:effectLst/>
        </xdr:spPr>
        <xdr:txBody>
          <a:bodyPr wrap="square" rtlCol="0" anchor="ct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a:ln>
                  <a:noFill/>
                </a:ln>
                <a:solidFill>
                  <a:srgbClr val="00B0F0"/>
                </a:solidFill>
                <a:effectLst/>
                <a:uLnTx/>
                <a:uFillTx/>
                <a:latin typeface="Marianne" panose="020B0604020202020204"/>
                <a:ea typeface="+mn-ea"/>
                <a:cs typeface="+mn-cs"/>
              </a:rPr>
              <a:t>Stratégie et Gouvernance</a:t>
            </a:r>
          </a:p>
        </xdr:txBody>
      </xdr:sp>
      <xdr:sp macro="" textlink="">
        <xdr:nvSpPr>
          <xdr:cNvPr id="171" name="TextBox 6">
            <a:extLst>
              <a:ext uri="{FF2B5EF4-FFF2-40B4-BE49-F238E27FC236}">
                <a16:creationId xmlns:a16="http://schemas.microsoft.com/office/drawing/2014/main" id="{D9F281CF-1921-4AD0-AB96-628C36E1D985}"/>
              </a:ext>
            </a:extLst>
          </xdr:cNvPr>
          <xdr:cNvSpPr txBox="1"/>
        </xdr:nvSpPr>
        <xdr:spPr>
          <a:xfrm>
            <a:off x="4671616" y="4614344"/>
            <a:ext cx="979755" cy="276999"/>
          </a:xfrm>
          <a:prstGeom prst="rect">
            <a:avLst/>
          </a:prstGeom>
          <a:noFill/>
          <a:ln w="9525" cmpd="sng">
            <a:noFill/>
          </a:ln>
          <a:effectLst/>
        </xdr:spPr>
        <xdr:txBody>
          <a:bodyPr wrap="square" rtlCol="0" anchor="ct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a:ln>
                  <a:noFill/>
                </a:ln>
                <a:solidFill>
                  <a:srgbClr val="ED7D31"/>
                </a:solidFill>
                <a:effectLst/>
                <a:uLnTx/>
                <a:uFillTx/>
                <a:latin typeface="Marianne" panose="020B0604020202020204"/>
                <a:ea typeface="+mn-ea"/>
                <a:cs typeface="+mn-cs"/>
              </a:rPr>
              <a:t>Mesure</a:t>
            </a:r>
          </a:p>
        </xdr:txBody>
      </xdr:sp>
      <xdr:sp macro="" textlink="">
        <xdr:nvSpPr>
          <xdr:cNvPr id="172" name="TextBox 7">
            <a:extLst>
              <a:ext uri="{FF2B5EF4-FFF2-40B4-BE49-F238E27FC236}">
                <a16:creationId xmlns:a16="http://schemas.microsoft.com/office/drawing/2014/main" id="{D7C14196-243D-40DB-8133-2DE39120EA94}"/>
              </a:ext>
            </a:extLst>
          </xdr:cNvPr>
          <xdr:cNvSpPr txBox="1"/>
        </xdr:nvSpPr>
        <xdr:spPr>
          <a:xfrm>
            <a:off x="4959648" y="6300192"/>
            <a:ext cx="914033" cy="276999"/>
          </a:xfrm>
          <a:prstGeom prst="rect">
            <a:avLst/>
          </a:prstGeom>
          <a:noFill/>
          <a:ln w="9525" cmpd="sng">
            <a:noFill/>
          </a:ln>
          <a:effectLst/>
        </xdr:spPr>
        <xdr:txBody>
          <a:bodyPr wrap="square" rtlCol="0" anchor="ct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a:ln>
                  <a:noFill/>
                </a:ln>
                <a:solidFill>
                  <a:srgbClr val="00B050"/>
                </a:solidFill>
                <a:effectLst/>
                <a:uLnTx/>
                <a:uFillTx/>
                <a:latin typeface="Marianne" panose="020B0604020202020204"/>
                <a:ea typeface="+mn-ea"/>
                <a:cs typeface="+mn-cs"/>
              </a:rPr>
              <a:t>Achats</a:t>
            </a:r>
          </a:p>
        </xdr:txBody>
      </xdr:sp>
      <xdr:sp macro="" textlink="">
        <xdr:nvSpPr>
          <xdr:cNvPr id="173" name="TextBox 8">
            <a:extLst>
              <a:ext uri="{FF2B5EF4-FFF2-40B4-BE49-F238E27FC236}">
                <a16:creationId xmlns:a16="http://schemas.microsoft.com/office/drawing/2014/main" id="{96E9E482-DA8E-48AD-867E-2BCF90376AE9}"/>
              </a:ext>
            </a:extLst>
          </xdr:cNvPr>
          <xdr:cNvSpPr txBox="1"/>
        </xdr:nvSpPr>
        <xdr:spPr>
          <a:xfrm>
            <a:off x="1503264" y="7740352"/>
            <a:ext cx="1872208" cy="430887"/>
          </a:xfrm>
          <a:prstGeom prst="rect">
            <a:avLst/>
          </a:prstGeom>
          <a:noFill/>
          <a:ln w="9525" cmpd="sng">
            <a:noFill/>
          </a:ln>
          <a:effectLst/>
        </xdr:spPr>
        <xdr:txBody>
          <a:bodyPr wrap="square" rtlCol="0" anchor="ct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a:ln>
                  <a:noFill/>
                </a:ln>
                <a:solidFill>
                  <a:srgbClr val="984807"/>
                </a:solidFill>
                <a:effectLst/>
                <a:uLnTx/>
                <a:uFillTx/>
                <a:latin typeface="Marianne" panose="020B0604020202020204"/>
                <a:ea typeface="+mn-ea"/>
                <a:cs typeface="+mn-cs"/>
              </a:rPr>
              <a:t>DEEE et </a:t>
            </a:r>
            <a:br>
              <a:rPr kumimoji="0" lang="en-US" sz="1400" b="1" i="0" u="none" strike="noStrike" kern="0" cap="none" spc="0" normalizeH="0" baseline="0">
                <a:ln>
                  <a:noFill/>
                </a:ln>
                <a:solidFill>
                  <a:srgbClr val="984807"/>
                </a:solidFill>
                <a:effectLst/>
                <a:uLnTx/>
                <a:uFillTx/>
                <a:latin typeface="Marianne" panose="020B0604020202020204"/>
                <a:ea typeface="+mn-ea"/>
                <a:cs typeface="+mn-cs"/>
              </a:rPr>
            </a:br>
            <a:r>
              <a:rPr kumimoji="0" lang="en-US" sz="1400" b="1" i="0" u="none" strike="noStrike" kern="0" cap="none" spc="0" normalizeH="0" baseline="0">
                <a:ln>
                  <a:noFill/>
                </a:ln>
                <a:solidFill>
                  <a:srgbClr val="984807"/>
                </a:solidFill>
                <a:effectLst/>
                <a:uLnTx/>
                <a:uFillTx/>
                <a:latin typeface="Marianne" panose="020B0604020202020204"/>
                <a:ea typeface="+mn-ea"/>
                <a:cs typeface="+mn-cs"/>
              </a:rPr>
              <a:t>économie circulaire</a:t>
            </a:r>
          </a:p>
        </xdr:txBody>
      </xdr:sp>
      <xdr:sp macro="" textlink="">
        <xdr:nvSpPr>
          <xdr:cNvPr id="174" name="TextBox 8">
            <a:extLst>
              <a:ext uri="{FF2B5EF4-FFF2-40B4-BE49-F238E27FC236}">
                <a16:creationId xmlns:a16="http://schemas.microsoft.com/office/drawing/2014/main" id="{DF0E2956-6DFC-4770-9938-7E8FD8487556}"/>
              </a:ext>
            </a:extLst>
          </xdr:cNvPr>
          <xdr:cNvSpPr txBox="1"/>
        </xdr:nvSpPr>
        <xdr:spPr>
          <a:xfrm>
            <a:off x="279128" y="6588224"/>
            <a:ext cx="1489510" cy="276999"/>
          </a:xfrm>
          <a:prstGeom prst="rect">
            <a:avLst/>
          </a:prstGeom>
          <a:noFill/>
          <a:ln w="9525" cmpd="sng">
            <a:noFill/>
          </a:ln>
          <a:effectLst/>
        </xdr:spPr>
        <xdr:txBody>
          <a:bodyPr wrap="square" rtlCol="0" anchor="ct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a:ln>
                  <a:noFill/>
                </a:ln>
                <a:solidFill>
                  <a:srgbClr val="7030A0"/>
                </a:solidFill>
                <a:effectLst/>
                <a:uLnTx/>
                <a:uFillTx/>
                <a:latin typeface="Marianne" panose="020B0604020202020204"/>
                <a:ea typeface="+mn-ea"/>
                <a:cs typeface="+mn-cs"/>
              </a:rPr>
              <a:t>Sensibilisation</a:t>
            </a:r>
          </a:p>
        </xdr:txBody>
      </xdr:sp>
      <xdr:sp macro="" textlink="">
        <xdr:nvSpPr>
          <xdr:cNvPr id="175" name="TextBox 8">
            <a:extLst>
              <a:ext uri="{FF2B5EF4-FFF2-40B4-BE49-F238E27FC236}">
                <a16:creationId xmlns:a16="http://schemas.microsoft.com/office/drawing/2014/main" id="{B6AA309B-B71A-4E0D-B7A2-DEA808E99491}"/>
              </a:ext>
            </a:extLst>
          </xdr:cNvPr>
          <xdr:cNvSpPr txBox="1"/>
        </xdr:nvSpPr>
        <xdr:spPr>
          <a:xfrm>
            <a:off x="567160" y="4283968"/>
            <a:ext cx="1443907" cy="508330"/>
          </a:xfrm>
          <a:prstGeom prst="rect">
            <a:avLst/>
          </a:prstGeom>
          <a:noFill/>
          <a:ln w="9525" cmpd="sng">
            <a:noFill/>
          </a:ln>
          <a:effectLst/>
        </xdr:spPr>
        <xdr:txBody>
          <a:bodyPr wrap="square" rtlCol="0" anchor="ct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fr-FR" sz="1400" b="1" i="0" u="none" strike="noStrike" kern="0" cap="none" spc="0" normalizeH="0" baseline="0">
                <a:ln>
                  <a:noFill/>
                </a:ln>
                <a:solidFill>
                  <a:srgbClr val="31859C"/>
                </a:solidFill>
                <a:effectLst/>
                <a:uLnTx/>
                <a:uFillTx/>
                <a:latin typeface="Marianne" panose="020B0604020202020204"/>
                <a:ea typeface="+mn-ea"/>
                <a:cs typeface="+mn-cs"/>
              </a:rPr>
              <a:t>IT pour une Collectivité </a:t>
            </a: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fr-FR" sz="1400" b="1" i="0" u="none" strike="noStrike" kern="0" cap="none" spc="0" normalizeH="0" baseline="0">
                <a:ln>
                  <a:noFill/>
                </a:ln>
                <a:solidFill>
                  <a:srgbClr val="31859C"/>
                </a:solidFill>
                <a:effectLst/>
                <a:uLnTx/>
                <a:uFillTx/>
                <a:latin typeface="Marianne" panose="020B0604020202020204"/>
                <a:ea typeface="+mn-ea"/>
                <a:cs typeface="+mn-cs"/>
              </a:rPr>
              <a:t>Eco-responsable</a:t>
            </a:r>
            <a:endParaRPr kumimoji="0" lang="en-US" sz="1400" b="1" i="0" u="none" strike="noStrike" kern="0" cap="none" spc="0" normalizeH="0" baseline="0">
              <a:ln>
                <a:noFill/>
              </a:ln>
              <a:solidFill>
                <a:srgbClr val="31859C"/>
              </a:solidFill>
              <a:effectLst/>
              <a:uLnTx/>
              <a:uFillTx/>
              <a:latin typeface="Marianne" panose="020B0604020202020204"/>
              <a:ea typeface="+mn-ea"/>
              <a:cs typeface="+mn-cs"/>
            </a:endParaRPr>
          </a:p>
        </xdr:txBody>
      </xdr:sp>
      <xdr:sp macro="" textlink="">
        <xdr:nvSpPr>
          <xdr:cNvPr id="176" name="TextBox 5">
            <a:extLst>
              <a:ext uri="{FF2B5EF4-FFF2-40B4-BE49-F238E27FC236}">
                <a16:creationId xmlns:a16="http://schemas.microsoft.com/office/drawing/2014/main" id="{57EC160D-04CA-4680-9E37-C70BF00F7997}"/>
              </a:ext>
            </a:extLst>
          </xdr:cNvPr>
          <xdr:cNvSpPr txBox="1"/>
        </xdr:nvSpPr>
        <xdr:spPr>
          <a:xfrm>
            <a:off x="4075867" y="7754559"/>
            <a:ext cx="1371721" cy="337487"/>
          </a:xfrm>
          <a:prstGeom prst="rect">
            <a:avLst/>
          </a:prstGeom>
          <a:noFill/>
          <a:ln w="9525" cmpd="sng">
            <a:noFill/>
          </a:ln>
          <a:effectLst/>
        </xdr:spPr>
        <xdr:txBody>
          <a:bodyPr wrap="square" rtlCol="0" anchor="ct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a:ln>
                  <a:noFill/>
                </a:ln>
                <a:solidFill>
                  <a:srgbClr val="FFC000"/>
                </a:solidFill>
                <a:effectLst/>
                <a:uLnTx/>
                <a:uFillTx/>
                <a:latin typeface="Marianne" panose="020B0604020202020204"/>
                <a:ea typeface="+mn-ea"/>
                <a:cs typeface="+mn-cs"/>
              </a:rPr>
              <a:t>Transformation de l'IT</a:t>
            </a:r>
          </a:p>
        </xdr:txBody>
      </xdr:sp>
    </xdr:grp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612A4-6454-4C7F-B638-63C3D79FF69C}">
  <dimension ref="A1:B92"/>
  <sheetViews>
    <sheetView zoomScale="115" zoomScaleNormal="115" workbookViewId="0">
      <selection activeCell="A24" sqref="A24"/>
    </sheetView>
  </sheetViews>
  <sheetFormatPr defaultColWidth="8.88671875" defaultRowHeight="14.4" x14ac:dyDescent="0.3"/>
  <cols>
    <col min="1" max="1" width="148.77734375" customWidth="1"/>
  </cols>
  <sheetData>
    <row r="1" spans="1:2" ht="21" x14ac:dyDescent="0.3">
      <c r="A1" s="245" t="s">
        <v>704</v>
      </c>
      <c r="B1" s="244"/>
    </row>
    <row r="2" spans="1:2" x14ac:dyDescent="0.3">
      <c r="A2" s="246"/>
      <c r="B2" s="244"/>
    </row>
    <row r="3" spans="1:2" ht="18" x14ac:dyDescent="0.3">
      <c r="A3" s="248" t="s">
        <v>705</v>
      </c>
      <c r="B3" s="244"/>
    </row>
    <row r="4" spans="1:2" x14ac:dyDescent="0.3">
      <c r="A4" s="246"/>
      <c r="B4" s="244"/>
    </row>
    <row r="5" spans="1:2" x14ac:dyDescent="0.3">
      <c r="A5" s="246"/>
      <c r="B5" s="244"/>
    </row>
    <row r="6" spans="1:2" x14ac:dyDescent="0.3">
      <c r="A6" s="246"/>
      <c r="B6" s="244"/>
    </row>
    <row r="7" spans="1:2" x14ac:dyDescent="0.3">
      <c r="A7" s="246"/>
      <c r="B7" s="244"/>
    </row>
    <row r="8" spans="1:2" x14ac:dyDescent="0.3">
      <c r="A8" s="246"/>
      <c r="B8" s="244"/>
    </row>
    <row r="9" spans="1:2" x14ac:dyDescent="0.3">
      <c r="A9" s="246"/>
      <c r="B9" s="244"/>
    </row>
    <row r="10" spans="1:2" x14ac:dyDescent="0.3">
      <c r="A10" s="246"/>
      <c r="B10" s="244"/>
    </row>
    <row r="11" spans="1:2" x14ac:dyDescent="0.3">
      <c r="A11" s="246"/>
      <c r="B11" s="244"/>
    </row>
    <row r="12" spans="1:2" x14ac:dyDescent="0.3">
      <c r="A12" s="246"/>
      <c r="B12" s="244"/>
    </row>
    <row r="13" spans="1:2" x14ac:dyDescent="0.3">
      <c r="A13" s="246"/>
      <c r="B13" s="244"/>
    </row>
    <row r="14" spans="1:2" x14ac:dyDescent="0.3">
      <c r="A14" s="246"/>
      <c r="B14" s="244"/>
    </row>
    <row r="15" spans="1:2" x14ac:dyDescent="0.3">
      <c r="A15" s="246"/>
      <c r="B15" s="244"/>
    </row>
    <row r="16" spans="1:2" x14ac:dyDescent="0.3">
      <c r="A16" s="246"/>
      <c r="B16" s="244"/>
    </row>
    <row r="17" spans="1:2" x14ac:dyDescent="0.3">
      <c r="A17" s="246"/>
      <c r="B17" s="244"/>
    </row>
    <row r="18" spans="1:2" x14ac:dyDescent="0.3">
      <c r="A18" s="246"/>
      <c r="B18" s="244"/>
    </row>
    <row r="19" spans="1:2" x14ac:dyDescent="0.3">
      <c r="A19" s="246"/>
      <c r="B19" s="244"/>
    </row>
    <row r="20" spans="1:2" x14ac:dyDescent="0.3">
      <c r="A20" s="246"/>
      <c r="B20" s="244"/>
    </row>
    <row r="21" spans="1:2" x14ac:dyDescent="0.3">
      <c r="A21" s="246"/>
      <c r="B21" s="244"/>
    </row>
    <row r="22" spans="1:2" x14ac:dyDescent="0.3">
      <c r="A22" s="246"/>
      <c r="B22" s="244"/>
    </row>
    <row r="23" spans="1:2" ht="40.799999999999997" customHeight="1" x14ac:dyDescent="0.3">
      <c r="A23" s="246"/>
      <c r="B23" s="244"/>
    </row>
    <row r="24" spans="1:2" x14ac:dyDescent="0.3">
      <c r="A24" s="246"/>
      <c r="B24" s="244"/>
    </row>
    <row r="25" spans="1:2" ht="18" x14ac:dyDescent="0.3">
      <c r="A25" s="248" t="s">
        <v>706</v>
      </c>
      <c r="B25" s="244"/>
    </row>
    <row r="26" spans="1:2" x14ac:dyDescent="0.3">
      <c r="A26" s="246"/>
      <c r="B26" s="244"/>
    </row>
    <row r="27" spans="1:2" x14ac:dyDescent="0.3">
      <c r="A27" s="246"/>
      <c r="B27" s="244"/>
    </row>
    <row r="28" spans="1:2" x14ac:dyDescent="0.3">
      <c r="A28" s="246"/>
      <c r="B28" s="244"/>
    </row>
    <row r="29" spans="1:2" x14ac:dyDescent="0.3">
      <c r="A29" s="246"/>
      <c r="B29" s="244"/>
    </row>
    <row r="30" spans="1:2" x14ac:dyDescent="0.3">
      <c r="A30" s="246"/>
      <c r="B30" s="244"/>
    </row>
    <row r="31" spans="1:2" x14ac:dyDescent="0.3">
      <c r="A31" s="246"/>
      <c r="B31" s="244"/>
    </row>
    <row r="32" spans="1:2" x14ac:dyDescent="0.3">
      <c r="A32" s="246"/>
      <c r="B32" s="244"/>
    </row>
    <row r="33" spans="1:2" x14ac:dyDescent="0.3">
      <c r="A33" s="246"/>
      <c r="B33" s="244"/>
    </row>
    <row r="34" spans="1:2" x14ac:dyDescent="0.3">
      <c r="A34" s="246"/>
      <c r="B34" s="244"/>
    </row>
    <row r="35" spans="1:2" x14ac:dyDescent="0.3">
      <c r="A35" s="246"/>
      <c r="B35" s="244"/>
    </row>
    <row r="36" spans="1:2" x14ac:dyDescent="0.3">
      <c r="A36" s="246"/>
      <c r="B36" s="244"/>
    </row>
    <row r="37" spans="1:2" x14ac:dyDescent="0.3">
      <c r="A37" s="246"/>
      <c r="B37" s="244"/>
    </row>
    <row r="38" spans="1:2" x14ac:dyDescent="0.3">
      <c r="A38" s="246"/>
      <c r="B38" s="244"/>
    </row>
    <row r="39" spans="1:2" x14ac:dyDescent="0.3">
      <c r="A39" s="246"/>
      <c r="B39" s="244"/>
    </row>
    <row r="40" spans="1:2" x14ac:dyDescent="0.3">
      <c r="A40" s="246"/>
      <c r="B40" s="244"/>
    </row>
    <row r="41" spans="1:2" x14ac:dyDescent="0.3">
      <c r="A41" s="246"/>
      <c r="B41" s="244"/>
    </row>
    <row r="42" spans="1:2" x14ac:dyDescent="0.3">
      <c r="A42" s="246"/>
      <c r="B42" s="244"/>
    </row>
    <row r="43" spans="1:2" x14ac:dyDescent="0.3">
      <c r="A43" s="246"/>
      <c r="B43" s="244"/>
    </row>
    <row r="44" spans="1:2" x14ac:dyDescent="0.3">
      <c r="A44" s="246"/>
      <c r="B44" s="244"/>
    </row>
    <row r="45" spans="1:2" x14ac:dyDescent="0.3">
      <c r="A45" s="246"/>
      <c r="B45" s="244"/>
    </row>
    <row r="46" spans="1:2" x14ac:dyDescent="0.3">
      <c r="A46" s="246"/>
      <c r="B46" s="244"/>
    </row>
    <row r="47" spans="1:2" x14ac:dyDescent="0.3">
      <c r="A47" s="246"/>
      <c r="B47" s="244"/>
    </row>
    <row r="48" spans="1:2" x14ac:dyDescent="0.3">
      <c r="A48" s="246"/>
      <c r="B48" s="244"/>
    </row>
    <row r="49" spans="1:2" x14ac:dyDescent="0.3">
      <c r="A49" s="246"/>
      <c r="B49" s="244"/>
    </row>
    <row r="50" spans="1:2" x14ac:dyDescent="0.3">
      <c r="A50" s="246"/>
      <c r="B50" s="244"/>
    </row>
    <row r="51" spans="1:2" x14ac:dyDescent="0.3">
      <c r="A51" s="246"/>
      <c r="B51" s="244"/>
    </row>
    <row r="52" spans="1:2" x14ac:dyDescent="0.3">
      <c r="A52" s="246"/>
      <c r="B52" s="244"/>
    </row>
    <row r="53" spans="1:2" x14ac:dyDescent="0.3">
      <c r="A53" s="246"/>
      <c r="B53" s="244"/>
    </row>
    <row r="54" spans="1:2" x14ac:dyDescent="0.3">
      <c r="A54" s="246"/>
      <c r="B54" s="244"/>
    </row>
    <row r="55" spans="1:2" x14ac:dyDescent="0.3">
      <c r="A55" s="246"/>
      <c r="B55" s="244"/>
    </row>
    <row r="56" spans="1:2" x14ac:dyDescent="0.3">
      <c r="A56" s="246"/>
      <c r="B56" s="244"/>
    </row>
    <row r="57" spans="1:2" x14ac:dyDescent="0.3">
      <c r="A57" s="246"/>
      <c r="B57" s="244"/>
    </row>
    <row r="58" spans="1:2" x14ac:dyDescent="0.3">
      <c r="A58" s="246"/>
      <c r="B58" s="244"/>
    </row>
    <row r="59" spans="1:2" x14ac:dyDescent="0.3">
      <c r="A59" s="246"/>
      <c r="B59" s="244"/>
    </row>
    <row r="60" spans="1:2" x14ac:dyDescent="0.3">
      <c r="A60" s="246"/>
      <c r="B60" s="244"/>
    </row>
    <row r="61" spans="1:2" x14ac:dyDescent="0.3">
      <c r="A61" s="246"/>
      <c r="B61" s="244"/>
    </row>
    <row r="62" spans="1:2" x14ac:dyDescent="0.3">
      <c r="A62" s="246"/>
      <c r="B62" s="244"/>
    </row>
    <row r="63" spans="1:2" x14ac:dyDescent="0.3">
      <c r="A63" s="246"/>
      <c r="B63" s="244"/>
    </row>
    <row r="64" spans="1:2" x14ac:dyDescent="0.3">
      <c r="A64" s="246"/>
      <c r="B64" s="244"/>
    </row>
    <row r="65" spans="1:2" x14ac:dyDescent="0.3">
      <c r="A65" s="246"/>
      <c r="B65" s="244"/>
    </row>
    <row r="66" spans="1:2" x14ac:dyDescent="0.3">
      <c r="A66" s="246"/>
      <c r="B66" s="244"/>
    </row>
    <row r="67" spans="1:2" x14ac:dyDescent="0.3">
      <c r="A67" s="246"/>
      <c r="B67" s="244"/>
    </row>
    <row r="68" spans="1:2" x14ac:dyDescent="0.3">
      <c r="A68" s="246"/>
      <c r="B68" s="244"/>
    </row>
    <row r="69" spans="1:2" x14ac:dyDescent="0.3">
      <c r="B69" s="244"/>
    </row>
    <row r="70" spans="1:2" x14ac:dyDescent="0.3">
      <c r="B70" s="244"/>
    </row>
    <row r="71" spans="1:2" ht="18" x14ac:dyDescent="0.3">
      <c r="A71" s="248" t="s">
        <v>754</v>
      </c>
      <c r="B71" s="244"/>
    </row>
    <row r="72" spans="1:2" x14ac:dyDescent="0.3">
      <c r="A72" s="246"/>
      <c r="B72" s="244"/>
    </row>
    <row r="73" spans="1:2" x14ac:dyDescent="0.3">
      <c r="A73" s="246"/>
      <c r="B73" s="244"/>
    </row>
    <row r="74" spans="1:2" x14ac:dyDescent="0.3">
      <c r="A74" s="246"/>
      <c r="B74" s="244"/>
    </row>
    <row r="75" spans="1:2" x14ac:dyDescent="0.3">
      <c r="A75" s="246"/>
      <c r="B75" s="244"/>
    </row>
    <row r="76" spans="1:2" x14ac:dyDescent="0.3">
      <c r="A76" s="246"/>
      <c r="B76" s="244"/>
    </row>
    <row r="77" spans="1:2" x14ac:dyDescent="0.3">
      <c r="A77" s="246"/>
      <c r="B77" s="244"/>
    </row>
    <row r="78" spans="1:2" x14ac:dyDescent="0.3">
      <c r="B78" s="244"/>
    </row>
    <row r="79" spans="1:2" x14ac:dyDescent="0.3">
      <c r="A79" s="246"/>
      <c r="B79" s="244"/>
    </row>
    <row r="80" spans="1:2" x14ac:dyDescent="0.3">
      <c r="A80" s="246"/>
      <c r="B80" s="244"/>
    </row>
    <row r="81" spans="1:2" x14ac:dyDescent="0.3">
      <c r="A81" s="246"/>
      <c r="B81" s="244"/>
    </row>
    <row r="82" spans="1:2" x14ac:dyDescent="0.3">
      <c r="A82" s="246"/>
      <c r="B82" s="244"/>
    </row>
    <row r="83" spans="1:2" x14ac:dyDescent="0.3">
      <c r="A83" s="246"/>
      <c r="B83" s="244"/>
    </row>
    <row r="84" spans="1:2" x14ac:dyDescent="0.3">
      <c r="A84" s="246"/>
      <c r="B84" s="244"/>
    </row>
    <row r="85" spans="1:2" x14ac:dyDescent="0.3">
      <c r="A85" s="246"/>
      <c r="B85" s="244"/>
    </row>
    <row r="86" spans="1:2" x14ac:dyDescent="0.3">
      <c r="A86" s="246"/>
      <c r="B86" s="244"/>
    </row>
    <row r="87" spans="1:2" x14ac:dyDescent="0.3">
      <c r="A87" s="246"/>
      <c r="B87" s="244"/>
    </row>
    <row r="88" spans="1:2" x14ac:dyDescent="0.3">
      <c r="A88" s="246"/>
      <c r="B88" s="244"/>
    </row>
    <row r="89" spans="1:2" x14ac:dyDescent="0.3">
      <c r="A89" s="246"/>
      <c r="B89" s="244"/>
    </row>
    <row r="90" spans="1:2" x14ac:dyDescent="0.3">
      <c r="A90" s="247"/>
    </row>
    <row r="91" spans="1:2" x14ac:dyDescent="0.3">
      <c r="A91" s="247"/>
    </row>
    <row r="92" spans="1:2" x14ac:dyDescent="0.3">
      <c r="A92" s="24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81262-C43D-4C77-8E6A-53D1B9B414B5}">
  <sheetPr filterMode="1"/>
  <dimension ref="A1:U355"/>
  <sheetViews>
    <sheetView tabSelected="1" zoomScaleNormal="100" workbookViewId="0">
      <pane xSplit="5" ySplit="3" topLeftCell="J142" activePane="bottomRight" state="frozen"/>
      <selection pane="topRight" activeCell="E1" sqref="E1"/>
      <selection pane="bottomLeft" activeCell="A3" sqref="A3"/>
      <selection pane="bottomRight" activeCell="E56" sqref="E56"/>
    </sheetView>
  </sheetViews>
  <sheetFormatPr defaultColWidth="11.44140625" defaultRowHeight="13.8" x14ac:dyDescent="0.3"/>
  <cols>
    <col min="1" max="1" width="4.88671875" style="286" customWidth="1"/>
    <col min="2" max="2" width="6.109375" style="286" customWidth="1"/>
    <col min="3" max="3" width="15.6640625" style="287" customWidth="1"/>
    <col min="4" max="4" width="16.44140625" style="287" customWidth="1"/>
    <col min="5" max="5" width="63.77734375" style="293" customWidth="1"/>
    <col min="6" max="12" width="11.109375" style="294" customWidth="1"/>
    <col min="13" max="17" width="21.6640625" style="295" customWidth="1"/>
    <col min="18" max="18" width="10.77734375" style="291" customWidth="1"/>
    <col min="19" max="19" width="29" style="292" customWidth="1"/>
    <col min="20" max="20" width="10.77734375" style="291" customWidth="1"/>
    <col min="21" max="21" width="29" style="292" customWidth="1"/>
    <col min="22" max="16384" width="11.44140625" style="292"/>
  </cols>
  <sheetData>
    <row r="1" spans="1:21" s="278" customFormat="1" ht="18.600000000000001" customHeight="1" x14ac:dyDescent="0.3">
      <c r="A1" s="232"/>
      <c r="B1" s="233"/>
      <c r="C1" s="234"/>
      <c r="D1" s="234"/>
      <c r="E1" s="235"/>
      <c r="F1" s="236"/>
      <c r="G1" s="236"/>
      <c r="H1" s="237"/>
      <c r="I1" s="236"/>
      <c r="J1" s="236"/>
      <c r="K1" s="236"/>
      <c r="L1" s="236"/>
      <c r="M1" s="238"/>
      <c r="N1" s="238"/>
      <c r="O1" s="238"/>
      <c r="P1" s="239"/>
      <c r="Q1" s="238"/>
      <c r="R1" s="325" t="s">
        <v>624</v>
      </c>
      <c r="S1" s="325"/>
      <c r="T1" s="325"/>
      <c r="U1" s="325"/>
    </row>
    <row r="2" spans="1:21" s="279" customFormat="1" ht="18" x14ac:dyDescent="0.3">
      <c r="A2" s="240"/>
      <c r="B2" s="241"/>
      <c r="C2" s="242"/>
      <c r="D2" s="242"/>
      <c r="E2" s="243" t="s">
        <v>199</v>
      </c>
      <c r="F2" s="323" t="s">
        <v>696</v>
      </c>
      <c r="G2" s="324"/>
      <c r="H2" s="324"/>
      <c r="I2" s="324"/>
      <c r="J2" s="324"/>
      <c r="K2" s="324"/>
      <c r="L2" s="324"/>
      <c r="M2" s="322" t="s">
        <v>200</v>
      </c>
      <c r="N2" s="322"/>
      <c r="O2" s="322"/>
      <c r="P2" s="322"/>
      <c r="Q2" s="322"/>
      <c r="R2" s="326" t="s">
        <v>643</v>
      </c>
      <c r="S2" s="326"/>
      <c r="T2" s="327" t="s">
        <v>644</v>
      </c>
      <c r="U2" s="327"/>
    </row>
    <row r="3" spans="1:21" s="280" customFormat="1" ht="55.2" x14ac:dyDescent="0.3">
      <c r="A3" s="300" t="s">
        <v>525</v>
      </c>
      <c r="B3" s="300" t="s">
        <v>477</v>
      </c>
      <c r="C3" s="300" t="s">
        <v>567</v>
      </c>
      <c r="D3" s="300" t="s">
        <v>252</v>
      </c>
      <c r="E3" s="299" t="s">
        <v>201</v>
      </c>
      <c r="F3" s="298" t="s">
        <v>645</v>
      </c>
      <c r="G3" s="298" t="s">
        <v>646</v>
      </c>
      <c r="H3" s="298" t="s">
        <v>647</v>
      </c>
      <c r="I3" s="298" t="s">
        <v>648</v>
      </c>
      <c r="J3" s="298" t="s">
        <v>649</v>
      </c>
      <c r="K3" s="298" t="s">
        <v>681</v>
      </c>
      <c r="L3" s="298" t="s">
        <v>623</v>
      </c>
      <c r="M3" s="297">
        <v>0</v>
      </c>
      <c r="N3" s="297">
        <v>1</v>
      </c>
      <c r="O3" s="297">
        <v>2</v>
      </c>
      <c r="P3" s="297">
        <v>3</v>
      </c>
      <c r="Q3" s="297">
        <v>4</v>
      </c>
      <c r="R3" s="296" t="s">
        <v>850</v>
      </c>
      <c r="S3" s="296" t="s">
        <v>594</v>
      </c>
      <c r="T3" s="296" t="s">
        <v>850</v>
      </c>
      <c r="U3" s="296" t="s">
        <v>594</v>
      </c>
    </row>
    <row r="4" spans="1:21" s="282" customFormat="1" ht="69" hidden="1" x14ac:dyDescent="0.3">
      <c r="A4" s="305">
        <v>1</v>
      </c>
      <c r="B4" s="305">
        <v>1</v>
      </c>
      <c r="C4" s="306" t="s">
        <v>503</v>
      </c>
      <c r="D4" s="306" t="s">
        <v>397</v>
      </c>
      <c r="E4" s="307" t="s">
        <v>398</v>
      </c>
      <c r="F4" s="308"/>
      <c r="G4" s="308"/>
      <c r="H4" s="308"/>
      <c r="I4" s="308"/>
      <c r="J4" s="308"/>
      <c r="K4" s="308"/>
      <c r="L4" s="308"/>
      <c r="M4" s="309" t="s">
        <v>211</v>
      </c>
      <c r="N4" s="309" t="s">
        <v>829</v>
      </c>
      <c r="O4" s="309" t="s">
        <v>830</v>
      </c>
      <c r="P4" s="309" t="s">
        <v>399</v>
      </c>
      <c r="Q4" s="309" t="s">
        <v>400</v>
      </c>
      <c r="R4" s="308"/>
      <c r="S4" s="310"/>
      <c r="T4" s="308"/>
      <c r="U4" s="310"/>
    </row>
    <row r="5" spans="1:21" s="282" customFormat="1" ht="82.8" hidden="1" x14ac:dyDescent="0.3">
      <c r="A5" s="305">
        <f>A4+1</f>
        <v>2</v>
      </c>
      <c r="B5" s="305">
        <v>1</v>
      </c>
      <c r="C5" s="306" t="s">
        <v>503</v>
      </c>
      <c r="D5" s="306" t="s">
        <v>249</v>
      </c>
      <c r="E5" s="307" t="s">
        <v>159</v>
      </c>
      <c r="F5" s="308"/>
      <c r="G5" s="308"/>
      <c r="H5" s="308"/>
      <c r="I5" s="308"/>
      <c r="J5" s="308"/>
      <c r="K5" s="308"/>
      <c r="L5" s="308"/>
      <c r="M5" s="309" t="s">
        <v>211</v>
      </c>
      <c r="N5" s="309" t="s">
        <v>203</v>
      </c>
      <c r="O5" s="311" t="s">
        <v>755</v>
      </c>
      <c r="P5" s="309" t="s">
        <v>204</v>
      </c>
      <c r="Q5" s="309" t="s">
        <v>205</v>
      </c>
      <c r="R5" s="308"/>
      <c r="S5" s="310"/>
      <c r="T5" s="308"/>
      <c r="U5" s="310"/>
    </row>
    <row r="6" spans="1:21" s="282" customFormat="1" ht="55.2" hidden="1" x14ac:dyDescent="0.3">
      <c r="A6" s="305">
        <f t="shared" ref="A6:A69" si="0">A5+1</f>
        <v>3</v>
      </c>
      <c r="B6" s="305">
        <v>1</v>
      </c>
      <c r="C6" s="306" t="s">
        <v>503</v>
      </c>
      <c r="D6" s="306" t="s">
        <v>249</v>
      </c>
      <c r="E6" s="307" t="s">
        <v>478</v>
      </c>
      <c r="F6" s="308"/>
      <c r="G6" s="308"/>
      <c r="H6" s="308"/>
      <c r="I6" s="308"/>
      <c r="J6" s="308"/>
      <c r="K6" s="308"/>
      <c r="L6" s="308"/>
      <c r="M6" s="309" t="s">
        <v>211</v>
      </c>
      <c r="N6" s="309" t="s">
        <v>756</v>
      </c>
      <c r="O6" s="309" t="s">
        <v>219</v>
      </c>
      <c r="P6" s="309" t="s">
        <v>220</v>
      </c>
      <c r="Q6" s="309" t="s">
        <v>221</v>
      </c>
      <c r="R6" s="308"/>
      <c r="S6" s="310"/>
      <c r="T6" s="308"/>
      <c r="U6" s="310"/>
    </row>
    <row r="7" spans="1:21" s="282" customFormat="1" ht="82.8" hidden="1" x14ac:dyDescent="0.3">
      <c r="A7" s="305">
        <f t="shared" si="0"/>
        <v>4</v>
      </c>
      <c r="B7" s="305">
        <v>1</v>
      </c>
      <c r="C7" s="306" t="s">
        <v>503</v>
      </c>
      <c r="D7" s="306" t="s">
        <v>249</v>
      </c>
      <c r="E7" s="307" t="s">
        <v>272</v>
      </c>
      <c r="F7" s="308"/>
      <c r="G7" s="308"/>
      <c r="H7" s="308"/>
      <c r="I7" s="308"/>
      <c r="J7" s="308"/>
      <c r="K7" s="308"/>
      <c r="L7" s="308"/>
      <c r="M7" s="306" t="s">
        <v>273</v>
      </c>
      <c r="N7" s="306" t="s">
        <v>871</v>
      </c>
      <c r="O7" s="320" t="s">
        <v>851</v>
      </c>
      <c r="P7" s="306" t="s">
        <v>852</v>
      </c>
      <c r="Q7" s="306" t="s">
        <v>872</v>
      </c>
      <c r="R7" s="308"/>
      <c r="S7" s="310"/>
      <c r="T7" s="308"/>
      <c r="U7" s="310"/>
    </row>
    <row r="8" spans="1:21" s="282" customFormat="1" ht="69" hidden="1" x14ac:dyDescent="0.3">
      <c r="A8" s="305">
        <f t="shared" si="0"/>
        <v>5</v>
      </c>
      <c r="B8" s="305">
        <v>2</v>
      </c>
      <c r="C8" s="306" t="s">
        <v>503</v>
      </c>
      <c r="D8" s="306" t="s">
        <v>249</v>
      </c>
      <c r="E8" s="307" t="s">
        <v>596</v>
      </c>
      <c r="F8" s="308"/>
      <c r="G8" s="308"/>
      <c r="H8" s="308"/>
      <c r="I8" s="308"/>
      <c r="J8" s="308"/>
      <c r="K8" s="308"/>
      <c r="L8" s="308"/>
      <c r="M8" s="309" t="s">
        <v>211</v>
      </c>
      <c r="N8" s="309" t="s">
        <v>581</v>
      </c>
      <c r="O8" s="309" t="s">
        <v>580</v>
      </c>
      <c r="P8" s="309" t="s">
        <v>626</v>
      </c>
      <c r="Q8" s="309" t="s">
        <v>625</v>
      </c>
      <c r="R8" s="308"/>
      <c r="S8" s="310"/>
      <c r="T8" s="308"/>
      <c r="U8" s="310"/>
    </row>
    <row r="9" spans="1:21" s="282" customFormat="1" ht="69" hidden="1" x14ac:dyDescent="0.3">
      <c r="A9" s="305">
        <f t="shared" si="0"/>
        <v>6</v>
      </c>
      <c r="B9" s="305">
        <v>1</v>
      </c>
      <c r="C9" s="306" t="s">
        <v>503</v>
      </c>
      <c r="D9" s="306" t="s">
        <v>249</v>
      </c>
      <c r="E9" s="307" t="s">
        <v>526</v>
      </c>
      <c r="F9" s="308"/>
      <c r="G9" s="308"/>
      <c r="H9" s="308"/>
      <c r="I9" s="308"/>
      <c r="J9" s="308"/>
      <c r="K9" s="308"/>
      <c r="L9" s="308"/>
      <c r="M9" s="309" t="s">
        <v>211</v>
      </c>
      <c r="N9" s="309" t="s">
        <v>839</v>
      </c>
      <c r="O9" s="309" t="s">
        <v>222</v>
      </c>
      <c r="P9" s="309" t="s">
        <v>223</v>
      </c>
      <c r="Q9" s="309" t="s">
        <v>224</v>
      </c>
      <c r="R9" s="308"/>
      <c r="S9" s="310"/>
      <c r="T9" s="308"/>
      <c r="U9" s="310"/>
    </row>
    <row r="10" spans="1:21" s="282" customFormat="1" ht="27.6" hidden="1" x14ac:dyDescent="0.3">
      <c r="A10" s="305">
        <f t="shared" si="0"/>
        <v>7</v>
      </c>
      <c r="B10" s="305">
        <v>1</v>
      </c>
      <c r="C10" s="306" t="s">
        <v>503</v>
      </c>
      <c r="D10" s="306" t="s">
        <v>249</v>
      </c>
      <c r="E10" s="307" t="s">
        <v>481</v>
      </c>
      <c r="F10" s="308"/>
      <c r="G10" s="308"/>
      <c r="H10" s="308"/>
      <c r="I10" s="308"/>
      <c r="J10" s="308"/>
      <c r="K10" s="308"/>
      <c r="L10" s="308"/>
      <c r="M10" s="309" t="s">
        <v>211</v>
      </c>
      <c r="N10" s="309" t="s">
        <v>363</v>
      </c>
      <c r="O10" s="309" t="s">
        <v>467</v>
      </c>
      <c r="P10" s="309" t="s">
        <v>468</v>
      </c>
      <c r="Q10" s="309" t="s">
        <v>469</v>
      </c>
      <c r="R10" s="308"/>
      <c r="S10" s="310"/>
      <c r="T10" s="308"/>
      <c r="U10" s="310"/>
    </row>
    <row r="11" spans="1:21" s="282" customFormat="1" ht="69" hidden="1" x14ac:dyDescent="0.3">
      <c r="A11" s="305">
        <f t="shared" si="0"/>
        <v>8</v>
      </c>
      <c r="B11" s="305">
        <v>1</v>
      </c>
      <c r="C11" s="306" t="s">
        <v>503</v>
      </c>
      <c r="D11" s="306" t="s">
        <v>249</v>
      </c>
      <c r="E11" s="307" t="s">
        <v>482</v>
      </c>
      <c r="F11" s="308"/>
      <c r="G11" s="308"/>
      <c r="H11" s="308"/>
      <c r="I11" s="308"/>
      <c r="J11" s="308"/>
      <c r="K11" s="308"/>
      <c r="L11" s="308"/>
      <c r="M11" s="309" t="s">
        <v>853</v>
      </c>
      <c r="N11" s="309" t="s">
        <v>873</v>
      </c>
      <c r="O11" s="309" t="s">
        <v>875</v>
      </c>
      <c r="P11" s="309" t="s">
        <v>874</v>
      </c>
      <c r="Q11" s="309" t="s">
        <v>876</v>
      </c>
      <c r="R11" s="308"/>
      <c r="S11" s="310"/>
      <c r="T11" s="308"/>
      <c r="U11" s="310"/>
    </row>
    <row r="12" spans="1:21" s="282" customFormat="1" ht="27.6" hidden="1" x14ac:dyDescent="0.3">
      <c r="A12" s="305">
        <f t="shared" si="0"/>
        <v>9</v>
      </c>
      <c r="B12" s="305">
        <v>2</v>
      </c>
      <c r="C12" s="306" t="s">
        <v>503</v>
      </c>
      <c r="D12" s="306" t="s">
        <v>249</v>
      </c>
      <c r="E12" s="307" t="s">
        <v>595</v>
      </c>
      <c r="F12" s="312"/>
      <c r="G12" s="312"/>
      <c r="H12" s="308"/>
      <c r="I12" s="308"/>
      <c r="J12" s="308"/>
      <c r="K12" s="308"/>
      <c r="L12" s="312"/>
      <c r="M12" s="309"/>
      <c r="N12" s="309"/>
      <c r="O12" s="309"/>
      <c r="P12" s="309"/>
      <c r="Q12" s="309"/>
      <c r="R12" s="308"/>
      <c r="S12" s="310"/>
      <c r="T12" s="308"/>
      <c r="U12" s="310"/>
    </row>
    <row r="13" spans="1:21" s="282" customFormat="1" ht="69" hidden="1" x14ac:dyDescent="0.3">
      <c r="A13" s="305">
        <f t="shared" si="0"/>
        <v>10</v>
      </c>
      <c r="B13" s="313">
        <v>3</v>
      </c>
      <c r="C13" s="306" t="s">
        <v>503</v>
      </c>
      <c r="D13" s="306" t="s">
        <v>249</v>
      </c>
      <c r="E13" s="307" t="s">
        <v>247</v>
      </c>
      <c r="F13" s="308"/>
      <c r="G13" s="308"/>
      <c r="H13" s="308"/>
      <c r="I13" s="308"/>
      <c r="J13" s="308"/>
      <c r="K13" s="308"/>
      <c r="L13" s="308"/>
      <c r="M13" s="309" t="s">
        <v>211</v>
      </c>
      <c r="N13" s="309" t="s">
        <v>841</v>
      </c>
      <c r="O13" s="309" t="s">
        <v>254</v>
      </c>
      <c r="P13" s="309" t="s">
        <v>255</v>
      </c>
      <c r="Q13" s="309" t="s">
        <v>256</v>
      </c>
      <c r="R13" s="308"/>
      <c r="S13" s="310"/>
      <c r="T13" s="308"/>
      <c r="U13" s="310"/>
    </row>
    <row r="14" spans="1:21" s="282" customFormat="1" ht="27.6" hidden="1" x14ac:dyDescent="0.3">
      <c r="A14" s="305">
        <f t="shared" si="0"/>
        <v>11</v>
      </c>
      <c r="B14" s="313">
        <v>3</v>
      </c>
      <c r="C14" s="306" t="s">
        <v>503</v>
      </c>
      <c r="D14" s="306" t="s">
        <v>249</v>
      </c>
      <c r="E14" s="307" t="s">
        <v>463</v>
      </c>
      <c r="F14" s="312"/>
      <c r="G14" s="312"/>
      <c r="H14" s="308"/>
      <c r="I14" s="308"/>
      <c r="J14" s="308"/>
      <c r="K14" s="308"/>
      <c r="L14" s="312"/>
      <c r="M14" s="309"/>
      <c r="N14" s="309"/>
      <c r="O14" s="309"/>
      <c r="P14" s="309"/>
      <c r="Q14" s="309"/>
      <c r="R14" s="308"/>
      <c r="S14" s="310"/>
      <c r="T14" s="308"/>
      <c r="U14" s="310"/>
    </row>
    <row r="15" spans="1:21" s="282" customFormat="1" ht="151.80000000000001" hidden="1" x14ac:dyDescent="0.3">
      <c r="A15" s="305">
        <f t="shared" si="0"/>
        <v>12</v>
      </c>
      <c r="B15" s="305">
        <v>2</v>
      </c>
      <c r="C15" s="306" t="s">
        <v>503</v>
      </c>
      <c r="D15" s="306" t="s">
        <v>249</v>
      </c>
      <c r="E15" s="307" t="s">
        <v>225</v>
      </c>
      <c r="F15" s="308"/>
      <c r="G15" s="308"/>
      <c r="H15" s="308"/>
      <c r="I15" s="308"/>
      <c r="J15" s="308"/>
      <c r="K15" s="308"/>
      <c r="L15" s="308"/>
      <c r="M15" s="309" t="s">
        <v>211</v>
      </c>
      <c r="N15" s="309" t="s">
        <v>758</v>
      </c>
      <c r="O15" s="309" t="s">
        <v>226</v>
      </c>
      <c r="P15" s="309" t="s">
        <v>227</v>
      </c>
      <c r="Q15" s="309" t="s">
        <v>228</v>
      </c>
      <c r="R15" s="308"/>
      <c r="S15" s="310"/>
      <c r="T15" s="308"/>
      <c r="U15" s="310"/>
    </row>
    <row r="16" spans="1:21" s="282" customFormat="1" ht="27.6" hidden="1" x14ac:dyDescent="0.3">
      <c r="A16" s="305">
        <f t="shared" si="0"/>
        <v>13</v>
      </c>
      <c r="B16" s="305">
        <v>2</v>
      </c>
      <c r="C16" s="306" t="s">
        <v>503</v>
      </c>
      <c r="D16" s="306" t="s">
        <v>249</v>
      </c>
      <c r="E16" s="307" t="s">
        <v>549</v>
      </c>
      <c r="F16" s="312"/>
      <c r="G16" s="312"/>
      <c r="H16" s="308"/>
      <c r="I16" s="308"/>
      <c r="J16" s="308"/>
      <c r="K16" s="308"/>
      <c r="L16" s="312"/>
      <c r="M16" s="309"/>
      <c r="N16" s="309"/>
      <c r="O16" s="309"/>
      <c r="P16" s="309"/>
      <c r="Q16" s="309"/>
      <c r="R16" s="308"/>
      <c r="S16" s="310"/>
      <c r="T16" s="308"/>
      <c r="U16" s="310"/>
    </row>
    <row r="17" spans="1:21" s="282" customFormat="1" ht="55.2" hidden="1" x14ac:dyDescent="0.3">
      <c r="A17" s="305">
        <f t="shared" si="0"/>
        <v>14</v>
      </c>
      <c r="B17" s="305">
        <v>1</v>
      </c>
      <c r="C17" s="306" t="s">
        <v>503</v>
      </c>
      <c r="D17" s="306" t="s">
        <v>253</v>
      </c>
      <c r="E17" s="307" t="s">
        <v>627</v>
      </c>
      <c r="F17" s="308"/>
      <c r="G17" s="308"/>
      <c r="H17" s="308"/>
      <c r="I17" s="308"/>
      <c r="J17" s="308"/>
      <c r="K17" s="308"/>
      <c r="L17" s="308"/>
      <c r="M17" s="309" t="s">
        <v>207</v>
      </c>
      <c r="N17" s="309" t="s">
        <v>840</v>
      </c>
      <c r="O17" s="309" t="s">
        <v>208</v>
      </c>
      <c r="P17" s="309" t="s">
        <v>209</v>
      </c>
      <c r="Q17" s="309" t="s">
        <v>210</v>
      </c>
      <c r="R17" s="308"/>
      <c r="S17" s="310"/>
      <c r="T17" s="308"/>
      <c r="U17" s="310"/>
    </row>
    <row r="18" spans="1:21" s="282" customFormat="1" ht="82.8" hidden="1" x14ac:dyDescent="0.3">
      <c r="A18" s="305">
        <f t="shared" si="0"/>
        <v>15</v>
      </c>
      <c r="B18" s="305">
        <v>1</v>
      </c>
      <c r="C18" s="306" t="s">
        <v>503</v>
      </c>
      <c r="D18" s="306" t="s">
        <v>253</v>
      </c>
      <c r="E18" s="307" t="s">
        <v>233</v>
      </c>
      <c r="F18" s="308"/>
      <c r="G18" s="308"/>
      <c r="H18" s="308"/>
      <c r="I18" s="308"/>
      <c r="J18" s="308"/>
      <c r="K18" s="308"/>
      <c r="L18" s="308"/>
      <c r="M18" s="309" t="s">
        <v>234</v>
      </c>
      <c r="N18" s="309" t="s">
        <v>759</v>
      </c>
      <c r="O18" s="309" t="s">
        <v>760</v>
      </c>
      <c r="P18" s="309" t="s">
        <v>762</v>
      </c>
      <c r="Q18" s="309" t="s">
        <v>761</v>
      </c>
      <c r="R18" s="308"/>
      <c r="S18" s="310"/>
      <c r="T18" s="308"/>
      <c r="U18" s="310"/>
    </row>
    <row r="19" spans="1:21" s="282" customFormat="1" ht="69" hidden="1" x14ac:dyDescent="0.3">
      <c r="A19" s="305">
        <f t="shared" si="0"/>
        <v>16</v>
      </c>
      <c r="B19" s="305">
        <v>2</v>
      </c>
      <c r="C19" s="306" t="s">
        <v>503</v>
      </c>
      <c r="D19" s="306" t="s">
        <v>253</v>
      </c>
      <c r="E19" s="307" t="s">
        <v>238</v>
      </c>
      <c r="F19" s="308"/>
      <c r="G19" s="308"/>
      <c r="H19" s="308"/>
      <c r="I19" s="308"/>
      <c r="J19" s="308"/>
      <c r="K19" s="308"/>
      <c r="L19" s="308"/>
      <c r="M19" s="309" t="s">
        <v>239</v>
      </c>
      <c r="N19" s="309" t="s">
        <v>240</v>
      </c>
      <c r="O19" s="309" t="s">
        <v>763</v>
      </c>
      <c r="P19" s="309" t="s">
        <v>605</v>
      </c>
      <c r="Q19" s="309" t="s">
        <v>606</v>
      </c>
      <c r="R19" s="308"/>
      <c r="S19" s="310"/>
      <c r="T19" s="308"/>
      <c r="U19" s="310"/>
    </row>
    <row r="20" spans="1:21" s="282" customFormat="1" ht="41.4" hidden="1" x14ac:dyDescent="0.3">
      <c r="A20" s="305">
        <f t="shared" si="0"/>
        <v>17</v>
      </c>
      <c r="B20" s="305">
        <v>2</v>
      </c>
      <c r="C20" s="306" t="s">
        <v>503</v>
      </c>
      <c r="D20" s="306" t="s">
        <v>253</v>
      </c>
      <c r="E20" s="307" t="s">
        <v>604</v>
      </c>
      <c r="F20" s="308"/>
      <c r="G20" s="308"/>
      <c r="H20" s="308"/>
      <c r="I20" s="308"/>
      <c r="J20" s="308"/>
      <c r="K20" s="308"/>
      <c r="L20" s="308"/>
      <c r="M20" s="309" t="s">
        <v>211</v>
      </c>
      <c r="N20" s="309" t="s">
        <v>758</v>
      </c>
      <c r="O20" s="309" t="s">
        <v>213</v>
      </c>
      <c r="P20" s="309" t="s">
        <v>214</v>
      </c>
      <c r="Q20" s="309" t="s">
        <v>215</v>
      </c>
      <c r="R20" s="308"/>
      <c r="S20" s="310"/>
      <c r="T20" s="308"/>
      <c r="U20" s="310"/>
    </row>
    <row r="21" spans="1:21" s="282" customFormat="1" ht="96.6" hidden="1" x14ac:dyDescent="0.3">
      <c r="A21" s="305">
        <f t="shared" si="0"/>
        <v>18</v>
      </c>
      <c r="B21" s="305">
        <v>2</v>
      </c>
      <c r="C21" s="306" t="s">
        <v>503</v>
      </c>
      <c r="D21" s="306" t="s">
        <v>253</v>
      </c>
      <c r="E21" s="307" t="s">
        <v>527</v>
      </c>
      <c r="F21" s="308"/>
      <c r="G21" s="308"/>
      <c r="H21" s="308"/>
      <c r="I21" s="308"/>
      <c r="J21" s="308"/>
      <c r="K21" s="308"/>
      <c r="L21" s="308"/>
      <c r="M21" s="309" t="s">
        <v>211</v>
      </c>
      <c r="N21" s="309" t="s">
        <v>764</v>
      </c>
      <c r="O21" s="309" t="s">
        <v>244</v>
      </c>
      <c r="P21" s="309" t="s">
        <v>245</v>
      </c>
      <c r="Q21" s="309" t="s">
        <v>246</v>
      </c>
      <c r="R21" s="308"/>
      <c r="S21" s="310"/>
      <c r="T21" s="308"/>
      <c r="U21" s="310"/>
    </row>
    <row r="22" spans="1:21" s="282" customFormat="1" ht="55.2" hidden="1" x14ac:dyDescent="0.3">
      <c r="A22" s="305">
        <f t="shared" si="0"/>
        <v>19</v>
      </c>
      <c r="B22" s="313">
        <v>3</v>
      </c>
      <c r="C22" s="306" t="s">
        <v>503</v>
      </c>
      <c r="D22" s="306" t="s">
        <v>253</v>
      </c>
      <c r="E22" s="307" t="s">
        <v>259</v>
      </c>
      <c r="F22" s="308"/>
      <c r="G22" s="308"/>
      <c r="H22" s="308"/>
      <c r="I22" s="308"/>
      <c r="J22" s="308"/>
      <c r="K22" s="308"/>
      <c r="L22" s="308"/>
      <c r="M22" s="309" t="s">
        <v>211</v>
      </c>
      <c r="N22" s="309" t="s">
        <v>758</v>
      </c>
      <c r="O22" s="309" t="s">
        <v>260</v>
      </c>
      <c r="P22" s="309" t="s">
        <v>261</v>
      </c>
      <c r="Q22" s="309" t="s">
        <v>262</v>
      </c>
      <c r="R22" s="308"/>
      <c r="S22" s="310"/>
      <c r="T22" s="308"/>
      <c r="U22" s="310"/>
    </row>
    <row r="23" spans="1:21" s="282" customFormat="1" ht="41.4" hidden="1" x14ac:dyDescent="0.3">
      <c r="A23" s="305">
        <f t="shared" si="0"/>
        <v>20</v>
      </c>
      <c r="B23" s="305">
        <v>2</v>
      </c>
      <c r="C23" s="306" t="s">
        <v>503</v>
      </c>
      <c r="D23" s="306" t="s">
        <v>265</v>
      </c>
      <c r="E23" s="307" t="s">
        <v>628</v>
      </c>
      <c r="F23" s="308"/>
      <c r="G23" s="308"/>
      <c r="H23" s="308"/>
      <c r="I23" s="308"/>
      <c r="J23" s="308"/>
      <c r="K23" s="308"/>
      <c r="L23" s="308"/>
      <c r="M23" s="309" t="s">
        <v>765</v>
      </c>
      <c r="N23" s="309" t="s">
        <v>581</v>
      </c>
      <c r="O23" s="309" t="s">
        <v>766</v>
      </c>
      <c r="P23" s="309" t="s">
        <v>582</v>
      </c>
      <c r="Q23" s="309" t="s">
        <v>583</v>
      </c>
      <c r="R23" s="308"/>
      <c r="S23" s="310"/>
      <c r="T23" s="308"/>
      <c r="U23" s="310"/>
    </row>
    <row r="24" spans="1:21" s="282" customFormat="1" ht="41.4" hidden="1" x14ac:dyDescent="0.3">
      <c r="A24" s="305">
        <f t="shared" si="0"/>
        <v>21</v>
      </c>
      <c r="B24" s="305">
        <v>2</v>
      </c>
      <c r="C24" s="306" t="s">
        <v>503</v>
      </c>
      <c r="D24" s="306" t="s">
        <v>265</v>
      </c>
      <c r="E24" s="307" t="s">
        <v>629</v>
      </c>
      <c r="F24" s="308"/>
      <c r="G24" s="308"/>
      <c r="H24" s="308"/>
      <c r="I24" s="308"/>
      <c r="J24" s="308"/>
      <c r="K24" s="308"/>
      <c r="L24" s="308"/>
      <c r="M24" s="309" t="s">
        <v>765</v>
      </c>
      <c r="N24" s="309" t="s">
        <v>581</v>
      </c>
      <c r="O24" s="309" t="s">
        <v>766</v>
      </c>
      <c r="P24" s="309" t="s">
        <v>582</v>
      </c>
      <c r="Q24" s="309" t="s">
        <v>583</v>
      </c>
      <c r="R24" s="308"/>
      <c r="S24" s="310"/>
      <c r="T24" s="308"/>
      <c r="U24" s="310"/>
    </row>
    <row r="25" spans="1:21" s="282" customFormat="1" ht="27.6" hidden="1" x14ac:dyDescent="0.3">
      <c r="A25" s="305">
        <f t="shared" si="0"/>
        <v>22</v>
      </c>
      <c r="B25" s="305">
        <v>2</v>
      </c>
      <c r="C25" s="306" t="s">
        <v>503</v>
      </c>
      <c r="D25" s="306" t="s">
        <v>265</v>
      </c>
      <c r="E25" s="307" t="s">
        <v>187</v>
      </c>
      <c r="F25" s="312"/>
      <c r="G25" s="312"/>
      <c r="H25" s="308"/>
      <c r="I25" s="308"/>
      <c r="J25" s="308"/>
      <c r="K25" s="308"/>
      <c r="L25" s="312"/>
      <c r="M25" s="309"/>
      <c r="N25" s="309"/>
      <c r="O25" s="309"/>
      <c r="P25" s="309"/>
      <c r="Q25" s="309"/>
      <c r="R25" s="308"/>
      <c r="S25" s="310"/>
      <c r="T25" s="308"/>
      <c r="U25" s="310"/>
    </row>
    <row r="26" spans="1:21" s="282" customFormat="1" ht="27.6" hidden="1" x14ac:dyDescent="0.3">
      <c r="A26" s="305">
        <f t="shared" si="0"/>
        <v>23</v>
      </c>
      <c r="B26" s="305">
        <v>2</v>
      </c>
      <c r="C26" s="306" t="s">
        <v>503</v>
      </c>
      <c r="D26" s="306" t="s">
        <v>42</v>
      </c>
      <c r="E26" s="307" t="s">
        <v>682</v>
      </c>
      <c r="F26" s="308"/>
      <c r="G26" s="308"/>
      <c r="H26" s="308"/>
      <c r="I26" s="308"/>
      <c r="J26" s="308"/>
      <c r="K26" s="308"/>
      <c r="L26" s="308"/>
      <c r="M26" s="309"/>
      <c r="N26" s="309"/>
      <c r="O26" s="309"/>
      <c r="P26" s="309"/>
      <c r="Q26" s="309"/>
      <c r="R26" s="308"/>
      <c r="S26" s="310"/>
      <c r="T26" s="308"/>
      <c r="U26" s="310"/>
    </row>
    <row r="27" spans="1:21" s="283" customFormat="1" ht="27.6" hidden="1" x14ac:dyDescent="0.3">
      <c r="A27" s="305">
        <f t="shared" si="0"/>
        <v>24</v>
      </c>
      <c r="B27" s="305">
        <v>2</v>
      </c>
      <c r="C27" s="306" t="s">
        <v>503</v>
      </c>
      <c r="D27" s="306" t="s">
        <v>42</v>
      </c>
      <c r="E27" s="307" t="s">
        <v>683</v>
      </c>
      <c r="F27" s="312"/>
      <c r="G27" s="312"/>
      <c r="H27" s="308"/>
      <c r="I27" s="308"/>
      <c r="J27" s="308"/>
      <c r="K27" s="308"/>
      <c r="L27" s="312"/>
      <c r="M27" s="309"/>
      <c r="N27" s="309"/>
      <c r="O27" s="309"/>
      <c r="P27" s="309"/>
      <c r="Q27" s="309"/>
      <c r="R27" s="308"/>
      <c r="S27" s="310"/>
      <c r="T27" s="308"/>
      <c r="U27" s="310"/>
    </row>
    <row r="28" spans="1:21" s="282" customFormat="1" ht="55.2" hidden="1" x14ac:dyDescent="0.3">
      <c r="A28" s="305">
        <f t="shared" si="0"/>
        <v>25</v>
      </c>
      <c r="B28" s="305">
        <v>1</v>
      </c>
      <c r="C28" s="306" t="s">
        <v>503</v>
      </c>
      <c r="D28" s="306" t="s">
        <v>537</v>
      </c>
      <c r="E28" s="307" t="s">
        <v>767</v>
      </c>
      <c r="F28" s="308"/>
      <c r="G28" s="308"/>
      <c r="H28" s="308"/>
      <c r="I28" s="308"/>
      <c r="J28" s="308"/>
      <c r="K28" s="308"/>
      <c r="L28" s="308"/>
      <c r="M28" s="309" t="s">
        <v>765</v>
      </c>
      <c r="N28" s="309" t="s">
        <v>768</v>
      </c>
      <c r="O28" s="309" t="s">
        <v>580</v>
      </c>
      <c r="P28" s="309" t="s">
        <v>630</v>
      </c>
      <c r="Q28" s="309" t="s">
        <v>631</v>
      </c>
      <c r="R28" s="308"/>
      <c r="S28" s="310"/>
      <c r="T28" s="308"/>
      <c r="U28" s="310"/>
    </row>
    <row r="29" spans="1:21" s="282" customFormat="1" ht="69" hidden="1" x14ac:dyDescent="0.3">
      <c r="A29" s="305">
        <f t="shared" si="0"/>
        <v>26</v>
      </c>
      <c r="B29" s="305">
        <v>1</v>
      </c>
      <c r="C29" s="306" t="s">
        <v>503</v>
      </c>
      <c r="D29" s="306" t="s">
        <v>264</v>
      </c>
      <c r="E29" s="307" t="s">
        <v>263</v>
      </c>
      <c r="F29" s="308"/>
      <c r="G29" s="308"/>
      <c r="H29" s="308"/>
      <c r="I29" s="308"/>
      <c r="J29" s="308"/>
      <c r="K29" s="308"/>
      <c r="L29" s="308"/>
      <c r="M29" s="311" t="s">
        <v>769</v>
      </c>
      <c r="N29" s="309" t="s">
        <v>266</v>
      </c>
      <c r="O29" s="309" t="s">
        <v>550</v>
      </c>
      <c r="P29" s="309" t="s">
        <v>268</v>
      </c>
      <c r="Q29" s="309" t="s">
        <v>269</v>
      </c>
      <c r="R29" s="308"/>
      <c r="S29" s="310"/>
      <c r="T29" s="308"/>
      <c r="U29" s="310"/>
    </row>
    <row r="30" spans="1:21" s="282" customFormat="1" ht="27.6" hidden="1" x14ac:dyDescent="0.3">
      <c r="A30" s="305">
        <f t="shared" si="0"/>
        <v>27</v>
      </c>
      <c r="B30" s="305">
        <v>1</v>
      </c>
      <c r="C30" s="306" t="s">
        <v>503</v>
      </c>
      <c r="D30" s="306" t="s">
        <v>695</v>
      </c>
      <c r="E30" s="307" t="s">
        <v>270</v>
      </c>
      <c r="F30" s="312"/>
      <c r="G30" s="312"/>
      <c r="H30" s="308"/>
      <c r="I30" s="308"/>
      <c r="J30" s="308"/>
      <c r="K30" s="308"/>
      <c r="L30" s="312"/>
      <c r="M30" s="309"/>
      <c r="N30" s="309"/>
      <c r="O30" s="309"/>
      <c r="P30" s="309"/>
      <c r="Q30" s="309"/>
      <c r="R30" s="308"/>
      <c r="S30" s="310"/>
      <c r="T30" s="308"/>
      <c r="U30" s="310"/>
    </row>
    <row r="31" spans="1:21" s="284" customFormat="1" ht="41.4" hidden="1" x14ac:dyDescent="0.3">
      <c r="A31" s="305">
        <f t="shared" si="0"/>
        <v>28</v>
      </c>
      <c r="B31" s="305">
        <v>1</v>
      </c>
      <c r="C31" s="306" t="s">
        <v>504</v>
      </c>
      <c r="D31" s="306" t="s">
        <v>34</v>
      </c>
      <c r="E31" s="307" t="s">
        <v>79</v>
      </c>
      <c r="F31" s="308"/>
      <c r="G31" s="308"/>
      <c r="H31" s="308"/>
      <c r="I31" s="308"/>
      <c r="J31" s="308"/>
      <c r="K31" s="308"/>
      <c r="L31" s="308"/>
      <c r="M31" s="309" t="s">
        <v>211</v>
      </c>
      <c r="N31" s="314" t="s">
        <v>363</v>
      </c>
      <c r="O31" s="309" t="s">
        <v>286</v>
      </c>
      <c r="P31" s="309" t="s">
        <v>335</v>
      </c>
      <c r="Q31" s="309" t="s">
        <v>288</v>
      </c>
      <c r="R31" s="308"/>
      <c r="S31" s="309"/>
      <c r="T31" s="308"/>
      <c r="U31" s="309"/>
    </row>
    <row r="32" spans="1:21" s="284" customFormat="1" ht="41.4" hidden="1" x14ac:dyDescent="0.3">
      <c r="A32" s="305">
        <f t="shared" si="0"/>
        <v>29</v>
      </c>
      <c r="B32" s="313">
        <v>3</v>
      </c>
      <c r="C32" s="306" t="s">
        <v>504</v>
      </c>
      <c r="D32" s="306" t="s">
        <v>34</v>
      </c>
      <c r="E32" s="307" t="s">
        <v>489</v>
      </c>
      <c r="F32" s="312"/>
      <c r="G32" s="308"/>
      <c r="H32" s="312"/>
      <c r="I32" s="312"/>
      <c r="J32" s="312"/>
      <c r="K32" s="312"/>
      <c r="L32" s="312"/>
      <c r="M32" s="315"/>
      <c r="N32" s="315"/>
      <c r="O32" s="309"/>
      <c r="P32" s="309"/>
      <c r="Q32" s="309"/>
      <c r="R32" s="308"/>
      <c r="S32" s="309"/>
      <c r="T32" s="308"/>
      <c r="U32" s="309"/>
    </row>
    <row r="33" spans="1:21" s="284" customFormat="1" ht="41.4" hidden="1" x14ac:dyDescent="0.3">
      <c r="A33" s="305">
        <f t="shared" si="0"/>
        <v>30</v>
      </c>
      <c r="B33" s="313">
        <v>3</v>
      </c>
      <c r="C33" s="306" t="s">
        <v>504</v>
      </c>
      <c r="D33" s="306" t="s">
        <v>34</v>
      </c>
      <c r="E33" s="307" t="s">
        <v>290</v>
      </c>
      <c r="F33" s="312"/>
      <c r="G33" s="308"/>
      <c r="H33" s="312"/>
      <c r="I33" s="312"/>
      <c r="J33" s="312"/>
      <c r="K33" s="312"/>
      <c r="L33" s="312"/>
      <c r="M33" s="309"/>
      <c r="N33" s="309"/>
      <c r="O33" s="309"/>
      <c r="P33" s="309"/>
      <c r="Q33" s="309"/>
      <c r="R33" s="308"/>
      <c r="S33" s="309"/>
      <c r="T33" s="308"/>
      <c r="U33" s="309"/>
    </row>
    <row r="34" spans="1:21" s="284" customFormat="1" ht="41.4" hidden="1" x14ac:dyDescent="0.3">
      <c r="A34" s="305">
        <f t="shared" si="0"/>
        <v>31</v>
      </c>
      <c r="B34" s="313">
        <v>3</v>
      </c>
      <c r="C34" s="306" t="s">
        <v>504</v>
      </c>
      <c r="D34" s="306" t="s">
        <v>34</v>
      </c>
      <c r="E34" s="307" t="s">
        <v>632</v>
      </c>
      <c r="F34" s="308"/>
      <c r="G34" s="308"/>
      <c r="H34" s="308"/>
      <c r="I34" s="308"/>
      <c r="J34" s="308"/>
      <c r="K34" s="308"/>
      <c r="L34" s="308"/>
      <c r="M34" s="309"/>
      <c r="N34" s="309"/>
      <c r="O34" s="309"/>
      <c r="P34" s="309"/>
      <c r="Q34" s="309"/>
      <c r="R34" s="308"/>
      <c r="S34" s="309"/>
      <c r="T34" s="308"/>
      <c r="U34" s="309"/>
    </row>
    <row r="35" spans="1:21" s="284" customFormat="1" ht="41.4" hidden="1" x14ac:dyDescent="0.3">
      <c r="A35" s="305">
        <f t="shared" si="0"/>
        <v>32</v>
      </c>
      <c r="B35" s="313">
        <v>3</v>
      </c>
      <c r="C35" s="306" t="s">
        <v>504</v>
      </c>
      <c r="D35" s="306" t="s">
        <v>34</v>
      </c>
      <c r="E35" s="307" t="s">
        <v>694</v>
      </c>
      <c r="F35" s="308"/>
      <c r="G35" s="308"/>
      <c r="H35" s="308"/>
      <c r="I35" s="308"/>
      <c r="J35" s="308"/>
      <c r="K35" s="308"/>
      <c r="L35" s="308"/>
      <c r="M35" s="309" t="s">
        <v>633</v>
      </c>
      <c r="N35" s="309" t="s">
        <v>292</v>
      </c>
      <c r="O35" s="309" t="s">
        <v>580</v>
      </c>
      <c r="P35" s="309" t="s">
        <v>697</v>
      </c>
      <c r="Q35" s="309" t="s">
        <v>294</v>
      </c>
      <c r="R35" s="308"/>
      <c r="S35" s="309"/>
      <c r="T35" s="308"/>
      <c r="U35" s="309"/>
    </row>
    <row r="36" spans="1:21" s="284" customFormat="1" ht="55.2" hidden="1" x14ac:dyDescent="0.3">
      <c r="A36" s="305">
        <f t="shared" si="0"/>
        <v>33</v>
      </c>
      <c r="B36" s="305">
        <v>1</v>
      </c>
      <c r="C36" s="306" t="s">
        <v>504</v>
      </c>
      <c r="D36" s="306" t="s">
        <v>34</v>
      </c>
      <c r="E36" s="307" t="s">
        <v>551</v>
      </c>
      <c r="F36" s="308"/>
      <c r="G36" s="308"/>
      <c r="H36" s="308"/>
      <c r="I36" s="308"/>
      <c r="J36" s="308"/>
      <c r="K36" s="308"/>
      <c r="L36" s="308"/>
      <c r="M36" s="309" t="s">
        <v>633</v>
      </c>
      <c r="N36" s="309" t="s">
        <v>292</v>
      </c>
      <c r="O36" s="309" t="s">
        <v>697</v>
      </c>
      <c r="P36" s="309" t="s">
        <v>294</v>
      </c>
      <c r="Q36" s="309" t="s">
        <v>838</v>
      </c>
      <c r="R36" s="308"/>
      <c r="S36" s="309"/>
      <c r="T36" s="308"/>
      <c r="U36" s="309"/>
    </row>
    <row r="37" spans="1:21" s="284" customFormat="1" ht="55.2" hidden="1" x14ac:dyDescent="0.3">
      <c r="A37" s="305">
        <f t="shared" si="0"/>
        <v>34</v>
      </c>
      <c r="B37" s="305">
        <v>2</v>
      </c>
      <c r="C37" s="306" t="s">
        <v>504</v>
      </c>
      <c r="D37" s="306" t="s">
        <v>34</v>
      </c>
      <c r="E37" s="307" t="s">
        <v>161</v>
      </c>
      <c r="F37" s="308"/>
      <c r="G37" s="308"/>
      <c r="H37" s="308"/>
      <c r="I37" s="308"/>
      <c r="J37" s="308"/>
      <c r="K37" s="308"/>
      <c r="L37" s="308"/>
      <c r="M37" s="309" t="s">
        <v>211</v>
      </c>
      <c r="N37" s="309" t="s">
        <v>770</v>
      </c>
      <c r="O37" s="309" t="s">
        <v>634</v>
      </c>
      <c r="P37" s="309" t="s">
        <v>635</v>
      </c>
      <c r="Q37" s="309" t="s">
        <v>842</v>
      </c>
      <c r="R37" s="308"/>
      <c r="S37" s="310"/>
      <c r="T37" s="308"/>
      <c r="U37" s="310"/>
    </row>
    <row r="38" spans="1:21" s="284" customFormat="1" ht="41.4" hidden="1" x14ac:dyDescent="0.3">
      <c r="A38" s="305">
        <f t="shared" si="0"/>
        <v>35</v>
      </c>
      <c r="B38" s="305">
        <v>2</v>
      </c>
      <c r="C38" s="306" t="s">
        <v>504</v>
      </c>
      <c r="D38" s="306" t="s">
        <v>34</v>
      </c>
      <c r="E38" s="307" t="s">
        <v>162</v>
      </c>
      <c r="F38" s="312"/>
      <c r="G38" s="308"/>
      <c r="H38" s="312"/>
      <c r="I38" s="312"/>
      <c r="J38" s="312"/>
      <c r="K38" s="312"/>
      <c r="L38" s="312"/>
      <c r="M38" s="315"/>
      <c r="N38" s="315"/>
      <c r="O38" s="309"/>
      <c r="P38" s="309"/>
      <c r="Q38" s="309"/>
      <c r="R38" s="308"/>
      <c r="S38" s="310"/>
      <c r="T38" s="308"/>
      <c r="U38" s="310"/>
    </row>
    <row r="39" spans="1:21" s="282" customFormat="1" ht="41.4" hidden="1" x14ac:dyDescent="0.3">
      <c r="A39" s="305">
        <f t="shared" si="0"/>
        <v>36</v>
      </c>
      <c r="B39" s="305">
        <v>1</v>
      </c>
      <c r="C39" s="306" t="s">
        <v>504</v>
      </c>
      <c r="D39" s="306" t="s">
        <v>34</v>
      </c>
      <c r="E39" s="307" t="s">
        <v>296</v>
      </c>
      <c r="F39" s="308"/>
      <c r="G39" s="308"/>
      <c r="H39" s="308"/>
      <c r="I39" s="308"/>
      <c r="J39" s="308"/>
      <c r="K39" s="308"/>
      <c r="L39" s="308"/>
      <c r="M39" s="309" t="s">
        <v>211</v>
      </c>
      <c r="N39" s="309" t="s">
        <v>636</v>
      </c>
      <c r="O39" s="309" t="s">
        <v>593</v>
      </c>
      <c r="P39" s="309" t="s">
        <v>298</v>
      </c>
      <c r="Q39" s="309" t="s">
        <v>299</v>
      </c>
      <c r="R39" s="308"/>
      <c r="S39" s="309"/>
      <c r="T39" s="308"/>
      <c r="U39" s="309"/>
    </row>
    <row r="40" spans="1:21" s="282" customFormat="1" ht="41.4" hidden="1" x14ac:dyDescent="0.3">
      <c r="A40" s="305">
        <f t="shared" si="0"/>
        <v>37</v>
      </c>
      <c r="B40" s="305">
        <v>1</v>
      </c>
      <c r="C40" s="306" t="s">
        <v>504</v>
      </c>
      <c r="D40" s="306" t="s">
        <v>34</v>
      </c>
      <c r="E40" s="307" t="s">
        <v>693</v>
      </c>
      <c r="F40" s="308"/>
      <c r="G40" s="308"/>
      <c r="H40" s="308"/>
      <c r="I40" s="308"/>
      <c r="J40" s="308"/>
      <c r="K40" s="308"/>
      <c r="L40" s="308"/>
      <c r="M40" s="309" t="s">
        <v>211</v>
      </c>
      <c r="N40" s="309" t="s">
        <v>636</v>
      </c>
      <c r="O40" s="309" t="s">
        <v>593</v>
      </c>
      <c r="P40" s="309" t="s">
        <v>388</v>
      </c>
      <c r="Q40" s="309" t="s">
        <v>299</v>
      </c>
      <c r="R40" s="308"/>
      <c r="S40" s="309"/>
      <c r="T40" s="308"/>
      <c r="U40" s="309"/>
    </row>
    <row r="41" spans="1:21" s="284" customFormat="1" ht="41.4" hidden="1" x14ac:dyDescent="0.3">
      <c r="A41" s="305">
        <f t="shared" si="0"/>
        <v>38</v>
      </c>
      <c r="B41" s="313">
        <v>3</v>
      </c>
      <c r="C41" s="306" t="s">
        <v>504</v>
      </c>
      <c r="D41" s="306" t="s">
        <v>34</v>
      </c>
      <c r="E41" s="307" t="s">
        <v>167</v>
      </c>
      <c r="F41" s="308"/>
      <c r="G41" s="308"/>
      <c r="H41" s="308"/>
      <c r="I41" s="308"/>
      <c r="J41" s="308"/>
      <c r="K41" s="308"/>
      <c r="L41" s="308"/>
      <c r="M41" s="309" t="s">
        <v>211</v>
      </c>
      <c r="N41" s="309" t="s">
        <v>636</v>
      </c>
      <c r="O41" s="309" t="s">
        <v>593</v>
      </c>
      <c r="P41" s="309" t="s">
        <v>388</v>
      </c>
      <c r="Q41" s="309" t="s">
        <v>395</v>
      </c>
      <c r="R41" s="308"/>
      <c r="S41" s="309"/>
      <c r="T41" s="308"/>
      <c r="U41" s="309"/>
    </row>
    <row r="42" spans="1:21" s="284" customFormat="1" ht="41.4" hidden="1" x14ac:dyDescent="0.3">
      <c r="A42" s="305">
        <f t="shared" si="0"/>
        <v>39</v>
      </c>
      <c r="B42" s="313">
        <v>3</v>
      </c>
      <c r="C42" s="306" t="s">
        <v>504</v>
      </c>
      <c r="D42" s="306" t="s">
        <v>34</v>
      </c>
      <c r="E42" s="307" t="s">
        <v>168</v>
      </c>
      <c r="F42" s="308"/>
      <c r="G42" s="308"/>
      <c r="H42" s="308"/>
      <c r="I42" s="308"/>
      <c r="J42" s="308"/>
      <c r="K42" s="308"/>
      <c r="L42" s="308"/>
      <c r="M42" s="309" t="s">
        <v>211</v>
      </c>
      <c r="N42" s="309" t="s">
        <v>636</v>
      </c>
      <c r="O42" s="309" t="s">
        <v>593</v>
      </c>
      <c r="P42" s="309" t="s">
        <v>388</v>
      </c>
      <c r="Q42" s="309" t="s">
        <v>395</v>
      </c>
      <c r="R42" s="308"/>
      <c r="S42" s="309"/>
      <c r="T42" s="308"/>
      <c r="U42" s="309"/>
    </row>
    <row r="43" spans="1:21" s="284" customFormat="1" ht="110.4" hidden="1" x14ac:dyDescent="0.3">
      <c r="A43" s="305">
        <f t="shared" si="0"/>
        <v>40</v>
      </c>
      <c r="B43" s="313">
        <v>3</v>
      </c>
      <c r="C43" s="306" t="s">
        <v>504</v>
      </c>
      <c r="D43" s="306" t="s">
        <v>34</v>
      </c>
      <c r="E43" s="307" t="s">
        <v>169</v>
      </c>
      <c r="F43" s="308"/>
      <c r="G43" s="308"/>
      <c r="H43" s="308"/>
      <c r="I43" s="308"/>
      <c r="J43" s="308"/>
      <c r="K43" s="308"/>
      <c r="L43" s="308"/>
      <c r="M43" s="309" t="s">
        <v>211</v>
      </c>
      <c r="N43" s="309" t="s">
        <v>636</v>
      </c>
      <c r="O43" s="309" t="s">
        <v>593</v>
      </c>
      <c r="P43" s="309" t="s">
        <v>388</v>
      </c>
      <c r="Q43" s="309" t="s">
        <v>395</v>
      </c>
      <c r="R43" s="308"/>
      <c r="S43" s="309"/>
      <c r="T43" s="308"/>
      <c r="U43" s="309"/>
    </row>
    <row r="44" spans="1:21" s="284" customFormat="1" ht="41.4" hidden="1" x14ac:dyDescent="0.3">
      <c r="A44" s="305">
        <f t="shared" si="0"/>
        <v>41</v>
      </c>
      <c r="B44" s="305">
        <v>2</v>
      </c>
      <c r="C44" s="306" t="s">
        <v>504</v>
      </c>
      <c r="D44" s="306" t="s">
        <v>34</v>
      </c>
      <c r="E44" s="307" t="s">
        <v>130</v>
      </c>
      <c r="F44" s="308"/>
      <c r="G44" s="308"/>
      <c r="H44" s="308"/>
      <c r="I44" s="308"/>
      <c r="J44" s="308"/>
      <c r="K44" s="308"/>
      <c r="L44" s="308"/>
      <c r="M44" s="309"/>
      <c r="N44" s="309"/>
      <c r="O44" s="309"/>
      <c r="P44" s="309"/>
      <c r="Q44" s="309"/>
      <c r="R44" s="308"/>
      <c r="S44" s="309"/>
      <c r="T44" s="308"/>
      <c r="U44" s="309"/>
    </row>
    <row r="45" spans="1:21" s="284" customFormat="1" ht="41.4" hidden="1" x14ac:dyDescent="0.3">
      <c r="A45" s="305">
        <f t="shared" si="0"/>
        <v>42</v>
      </c>
      <c r="B45" s="305">
        <v>1</v>
      </c>
      <c r="C45" s="306" t="s">
        <v>505</v>
      </c>
      <c r="D45" s="306" t="s">
        <v>165</v>
      </c>
      <c r="E45" s="307" t="s">
        <v>63</v>
      </c>
      <c r="F45" s="308"/>
      <c r="G45" s="308"/>
      <c r="H45" s="308"/>
      <c r="I45" s="308"/>
      <c r="J45" s="308"/>
      <c r="K45" s="308"/>
      <c r="L45" s="308"/>
      <c r="M45" s="309" t="s">
        <v>211</v>
      </c>
      <c r="N45" s="309" t="s">
        <v>636</v>
      </c>
      <c r="O45" s="309" t="s">
        <v>580</v>
      </c>
      <c r="P45" s="309" t="s">
        <v>845</v>
      </c>
      <c r="Q45" s="309" t="s">
        <v>844</v>
      </c>
      <c r="R45" s="308"/>
      <c r="S45" s="310"/>
      <c r="T45" s="308"/>
      <c r="U45" s="310"/>
    </row>
    <row r="46" spans="1:21" s="284" customFormat="1" ht="27.6" hidden="1" x14ac:dyDescent="0.3">
      <c r="A46" s="305">
        <f t="shared" si="0"/>
        <v>43</v>
      </c>
      <c r="B46" s="305">
        <v>2</v>
      </c>
      <c r="C46" s="306" t="s">
        <v>505</v>
      </c>
      <c r="D46" s="306" t="s">
        <v>165</v>
      </c>
      <c r="E46" s="306" t="s">
        <v>637</v>
      </c>
      <c r="F46" s="308"/>
      <c r="G46" s="308"/>
      <c r="H46" s="308"/>
      <c r="I46" s="308"/>
      <c r="J46" s="308"/>
      <c r="K46" s="308"/>
      <c r="L46" s="308"/>
      <c r="M46" s="309" t="s">
        <v>211</v>
      </c>
      <c r="N46" s="309" t="s">
        <v>636</v>
      </c>
      <c r="O46" s="309" t="s">
        <v>593</v>
      </c>
      <c r="P46" s="309" t="s">
        <v>854</v>
      </c>
      <c r="Q46" s="302" t="s">
        <v>855</v>
      </c>
      <c r="R46" s="308"/>
      <c r="S46" s="310"/>
      <c r="T46" s="308"/>
      <c r="U46" s="310"/>
    </row>
    <row r="47" spans="1:21" s="284" customFormat="1" ht="27.6" hidden="1" x14ac:dyDescent="0.3">
      <c r="A47" s="305">
        <f t="shared" si="0"/>
        <v>44</v>
      </c>
      <c r="B47" s="305">
        <v>2</v>
      </c>
      <c r="C47" s="306" t="s">
        <v>505</v>
      </c>
      <c r="D47" s="306" t="s">
        <v>165</v>
      </c>
      <c r="E47" s="306" t="s">
        <v>115</v>
      </c>
      <c r="F47" s="308"/>
      <c r="G47" s="308"/>
      <c r="H47" s="308"/>
      <c r="I47" s="308"/>
      <c r="J47" s="308"/>
      <c r="K47" s="308"/>
      <c r="L47" s="308"/>
      <c r="M47" s="309"/>
      <c r="N47" s="309"/>
      <c r="O47" s="309"/>
      <c r="P47" s="309"/>
      <c r="Q47" s="309"/>
      <c r="R47" s="308"/>
      <c r="S47" s="309"/>
      <c r="T47" s="308"/>
      <c r="U47" s="309"/>
    </row>
    <row r="48" spans="1:21" s="284" customFormat="1" ht="41.4" hidden="1" x14ac:dyDescent="0.3">
      <c r="A48" s="305">
        <f t="shared" si="0"/>
        <v>45</v>
      </c>
      <c r="B48" s="305">
        <v>2</v>
      </c>
      <c r="C48" s="306" t="s">
        <v>505</v>
      </c>
      <c r="D48" s="306" t="s">
        <v>165</v>
      </c>
      <c r="E48" s="306" t="s">
        <v>182</v>
      </c>
      <c r="F48" s="308"/>
      <c r="G48" s="308"/>
      <c r="H48" s="308"/>
      <c r="I48" s="308"/>
      <c r="J48" s="308"/>
      <c r="K48" s="308"/>
      <c r="L48" s="308"/>
      <c r="M48" s="309" t="s">
        <v>211</v>
      </c>
      <c r="N48" s="309" t="s">
        <v>757</v>
      </c>
      <c r="O48" s="309" t="s">
        <v>388</v>
      </c>
      <c r="P48" s="309" t="s">
        <v>638</v>
      </c>
      <c r="Q48" s="309" t="s">
        <v>579</v>
      </c>
      <c r="R48" s="308"/>
      <c r="S48" s="309"/>
      <c r="T48" s="308"/>
      <c r="U48" s="309"/>
    </row>
    <row r="49" spans="1:21" s="284" customFormat="1" ht="27.6" hidden="1" x14ac:dyDescent="0.3">
      <c r="A49" s="305">
        <f t="shared" si="0"/>
        <v>46</v>
      </c>
      <c r="B49" s="305">
        <v>1</v>
      </c>
      <c r="C49" s="306" t="s">
        <v>505</v>
      </c>
      <c r="D49" s="306" t="s">
        <v>165</v>
      </c>
      <c r="E49" s="306" t="s">
        <v>70</v>
      </c>
      <c r="F49" s="308"/>
      <c r="G49" s="308"/>
      <c r="H49" s="308"/>
      <c r="I49" s="308"/>
      <c r="J49" s="308"/>
      <c r="K49" s="308"/>
      <c r="L49" s="308"/>
      <c r="M49" s="309" t="s">
        <v>211</v>
      </c>
      <c r="N49" s="309" t="s">
        <v>757</v>
      </c>
      <c r="O49" s="309" t="s">
        <v>388</v>
      </c>
      <c r="P49" s="309" t="s">
        <v>638</v>
      </c>
      <c r="Q49" s="309" t="s">
        <v>579</v>
      </c>
      <c r="R49" s="308"/>
      <c r="S49" s="309"/>
      <c r="T49" s="308"/>
      <c r="U49" s="309"/>
    </row>
    <row r="50" spans="1:21" s="284" customFormat="1" ht="96.6" hidden="1" x14ac:dyDescent="0.3">
      <c r="A50" s="305">
        <f t="shared" si="0"/>
        <v>47</v>
      </c>
      <c r="B50" s="305">
        <v>1</v>
      </c>
      <c r="C50" s="306" t="s">
        <v>505</v>
      </c>
      <c r="D50" s="306" t="s">
        <v>165</v>
      </c>
      <c r="E50" s="306" t="s">
        <v>602</v>
      </c>
      <c r="F50" s="308"/>
      <c r="G50" s="308"/>
      <c r="H50" s="308"/>
      <c r="I50" s="308"/>
      <c r="J50" s="308"/>
      <c r="K50" s="308"/>
      <c r="L50" s="308"/>
      <c r="M50" s="309" t="s">
        <v>211</v>
      </c>
      <c r="N50" s="309" t="s">
        <v>770</v>
      </c>
      <c r="O50" s="309" t="s">
        <v>580</v>
      </c>
      <c r="P50" s="309" t="s">
        <v>881</v>
      </c>
      <c r="Q50" s="321" t="s">
        <v>848</v>
      </c>
      <c r="R50" s="308"/>
      <c r="S50" s="309"/>
      <c r="T50" s="308"/>
      <c r="U50" s="309"/>
    </row>
    <row r="51" spans="1:21" s="284" customFormat="1" ht="27.6" hidden="1" x14ac:dyDescent="0.3">
      <c r="A51" s="305">
        <f t="shared" si="0"/>
        <v>48</v>
      </c>
      <c r="B51" s="305">
        <v>1</v>
      </c>
      <c r="C51" s="306" t="s">
        <v>505</v>
      </c>
      <c r="D51" s="306" t="s">
        <v>165</v>
      </c>
      <c r="E51" s="306" t="s">
        <v>684</v>
      </c>
      <c r="F51" s="308"/>
      <c r="G51" s="312"/>
      <c r="H51" s="312"/>
      <c r="I51" s="312"/>
      <c r="J51" s="312"/>
      <c r="K51" s="312"/>
      <c r="L51" s="312"/>
      <c r="M51" s="309"/>
      <c r="N51" s="309"/>
      <c r="O51" s="309"/>
      <c r="P51" s="309"/>
      <c r="Q51" s="309"/>
      <c r="R51" s="308"/>
      <c r="S51" s="309"/>
      <c r="T51" s="308"/>
      <c r="U51" s="309"/>
    </row>
    <row r="52" spans="1:21" s="284" customFormat="1" ht="27.6" hidden="1" x14ac:dyDescent="0.3">
      <c r="A52" s="305">
        <f t="shared" si="0"/>
        <v>49</v>
      </c>
      <c r="B52" s="313">
        <v>3</v>
      </c>
      <c r="C52" s="306" t="s">
        <v>505</v>
      </c>
      <c r="D52" s="306" t="s">
        <v>165</v>
      </c>
      <c r="E52" s="306" t="s">
        <v>117</v>
      </c>
      <c r="F52" s="308"/>
      <c r="G52" s="308"/>
      <c r="H52" s="308"/>
      <c r="I52" s="308"/>
      <c r="J52" s="308"/>
      <c r="K52" s="308"/>
      <c r="L52" s="308"/>
      <c r="M52" s="309" t="s">
        <v>211</v>
      </c>
      <c r="N52" s="309" t="s">
        <v>757</v>
      </c>
      <c r="O52" s="309" t="s">
        <v>388</v>
      </c>
      <c r="P52" s="309" t="s">
        <v>638</v>
      </c>
      <c r="Q52" s="309" t="s">
        <v>579</v>
      </c>
      <c r="R52" s="308"/>
      <c r="S52" s="309"/>
      <c r="T52" s="308"/>
      <c r="U52" s="309"/>
    </row>
    <row r="53" spans="1:21" s="284" customFormat="1" ht="55.2" hidden="1" x14ac:dyDescent="0.3">
      <c r="A53" s="305">
        <f t="shared" si="0"/>
        <v>50</v>
      </c>
      <c r="B53" s="313">
        <v>3</v>
      </c>
      <c r="C53" s="306" t="s">
        <v>505</v>
      </c>
      <c r="D53" s="306" t="s">
        <v>165</v>
      </c>
      <c r="E53" s="306" t="s">
        <v>601</v>
      </c>
      <c r="F53" s="308"/>
      <c r="G53" s="308"/>
      <c r="H53" s="308"/>
      <c r="I53" s="308"/>
      <c r="J53" s="308"/>
      <c r="K53" s="308"/>
      <c r="L53" s="308"/>
      <c r="M53" s="309" t="s">
        <v>211</v>
      </c>
      <c r="N53" s="309" t="s">
        <v>770</v>
      </c>
      <c r="O53" s="309" t="s">
        <v>580</v>
      </c>
      <c r="P53" s="309" t="s">
        <v>880</v>
      </c>
      <c r="Q53" s="321" t="s">
        <v>882</v>
      </c>
      <c r="R53" s="308"/>
      <c r="S53" s="309"/>
      <c r="T53" s="308"/>
      <c r="U53" s="309"/>
    </row>
    <row r="54" spans="1:21" s="284" customFormat="1" ht="27.6" hidden="1" x14ac:dyDescent="0.3">
      <c r="A54" s="305">
        <f t="shared" si="0"/>
        <v>51</v>
      </c>
      <c r="B54" s="313">
        <v>3</v>
      </c>
      <c r="C54" s="306" t="s">
        <v>505</v>
      </c>
      <c r="D54" s="306" t="s">
        <v>165</v>
      </c>
      <c r="E54" s="306" t="s">
        <v>118</v>
      </c>
      <c r="F54" s="308"/>
      <c r="G54" s="308"/>
      <c r="H54" s="308"/>
      <c r="I54" s="308"/>
      <c r="J54" s="308"/>
      <c r="K54" s="308"/>
      <c r="L54" s="308"/>
      <c r="M54" s="309"/>
      <c r="N54" s="309"/>
      <c r="O54" s="309"/>
      <c r="P54" s="309"/>
      <c r="Q54" s="309"/>
      <c r="R54" s="308"/>
      <c r="S54" s="309"/>
      <c r="T54" s="308"/>
      <c r="U54" s="309"/>
    </row>
    <row r="55" spans="1:21" s="284" customFormat="1" ht="41.4" hidden="1" x14ac:dyDescent="0.3">
      <c r="A55" s="305">
        <f t="shared" si="0"/>
        <v>52</v>
      </c>
      <c r="B55" s="316">
        <v>1</v>
      </c>
      <c r="C55" s="306" t="s">
        <v>505</v>
      </c>
      <c r="D55" s="306" t="s">
        <v>165</v>
      </c>
      <c r="E55" s="306" t="s">
        <v>45</v>
      </c>
      <c r="F55" s="308"/>
      <c r="G55" s="308"/>
      <c r="H55" s="308"/>
      <c r="I55" s="308"/>
      <c r="J55" s="308"/>
      <c r="K55" s="308"/>
      <c r="L55" s="308"/>
      <c r="M55" s="309" t="s">
        <v>211</v>
      </c>
      <c r="N55" s="309" t="s">
        <v>636</v>
      </c>
      <c r="O55" s="309" t="s">
        <v>580</v>
      </c>
      <c r="P55" s="314" t="s">
        <v>771</v>
      </c>
      <c r="Q55" s="309" t="s">
        <v>772</v>
      </c>
      <c r="R55" s="308"/>
      <c r="S55" s="309"/>
      <c r="T55" s="308"/>
      <c r="U55" s="309"/>
    </row>
    <row r="56" spans="1:21" s="284" customFormat="1" ht="55.2" hidden="1" x14ac:dyDescent="0.3">
      <c r="A56" s="305">
        <f t="shared" si="0"/>
        <v>53</v>
      </c>
      <c r="B56" s="305">
        <v>1</v>
      </c>
      <c r="C56" s="306" t="s">
        <v>505</v>
      </c>
      <c r="D56" s="306" t="s">
        <v>165</v>
      </c>
      <c r="E56" s="306" t="s">
        <v>119</v>
      </c>
      <c r="F56" s="308"/>
      <c r="G56" s="308"/>
      <c r="H56" s="308"/>
      <c r="I56" s="308"/>
      <c r="J56" s="308"/>
      <c r="K56" s="308"/>
      <c r="L56" s="308"/>
      <c r="M56" s="309" t="s">
        <v>211</v>
      </c>
      <c r="N56" s="309" t="s">
        <v>636</v>
      </c>
      <c r="O56" s="309" t="s">
        <v>580</v>
      </c>
      <c r="P56" s="309" t="s">
        <v>846</v>
      </c>
      <c r="Q56" s="309" t="s">
        <v>847</v>
      </c>
      <c r="R56" s="308"/>
      <c r="S56" s="309"/>
      <c r="T56" s="308"/>
      <c r="U56" s="309"/>
    </row>
    <row r="57" spans="1:21" s="284" customFormat="1" ht="27.6" hidden="1" x14ac:dyDescent="0.3">
      <c r="A57" s="305">
        <f t="shared" si="0"/>
        <v>54</v>
      </c>
      <c r="B57" s="305">
        <v>1</v>
      </c>
      <c r="C57" s="306" t="s">
        <v>505</v>
      </c>
      <c r="D57" s="306" t="s">
        <v>165</v>
      </c>
      <c r="E57" s="306" t="s">
        <v>120</v>
      </c>
      <c r="F57" s="308"/>
      <c r="G57" s="312"/>
      <c r="H57" s="312"/>
      <c r="I57" s="312"/>
      <c r="J57" s="312"/>
      <c r="K57" s="312"/>
      <c r="L57" s="312"/>
      <c r="M57" s="309"/>
      <c r="N57" s="309"/>
      <c r="O57" s="309"/>
      <c r="P57" s="309"/>
      <c r="Q57" s="309"/>
      <c r="R57" s="308"/>
      <c r="S57" s="309"/>
      <c r="T57" s="308"/>
      <c r="U57" s="309"/>
    </row>
    <row r="58" spans="1:21" s="284" customFormat="1" ht="41.4" hidden="1" x14ac:dyDescent="0.3">
      <c r="A58" s="305">
        <f t="shared" si="0"/>
        <v>55</v>
      </c>
      <c r="B58" s="305">
        <v>1</v>
      </c>
      <c r="C58" s="306" t="s">
        <v>505</v>
      </c>
      <c r="D58" s="306" t="s">
        <v>165</v>
      </c>
      <c r="E58" s="306" t="s">
        <v>609</v>
      </c>
      <c r="F58" s="308"/>
      <c r="G58" s="312"/>
      <c r="H58" s="312"/>
      <c r="I58" s="312"/>
      <c r="J58" s="312"/>
      <c r="K58" s="312"/>
      <c r="L58" s="312"/>
      <c r="M58" s="309" t="s">
        <v>640</v>
      </c>
      <c r="N58" s="309" t="s">
        <v>773</v>
      </c>
      <c r="O58" s="309" t="s">
        <v>580</v>
      </c>
      <c r="P58" s="309" t="s">
        <v>641</v>
      </c>
      <c r="Q58" s="309" t="s">
        <v>642</v>
      </c>
      <c r="R58" s="308"/>
      <c r="S58" s="309"/>
      <c r="T58" s="308"/>
      <c r="U58" s="309"/>
    </row>
    <row r="59" spans="1:21" s="284" customFormat="1" ht="55.2" hidden="1" x14ac:dyDescent="0.3">
      <c r="A59" s="305">
        <f t="shared" si="0"/>
        <v>56</v>
      </c>
      <c r="B59" s="305">
        <v>1</v>
      </c>
      <c r="C59" s="306" t="s">
        <v>505</v>
      </c>
      <c r="D59" s="306" t="s">
        <v>607</v>
      </c>
      <c r="E59" s="306" t="s">
        <v>685</v>
      </c>
      <c r="F59" s="308"/>
      <c r="G59" s="308"/>
      <c r="H59" s="308"/>
      <c r="I59" s="308"/>
      <c r="J59" s="308"/>
      <c r="K59" s="308"/>
      <c r="L59" s="308"/>
      <c r="M59" s="317" t="s">
        <v>229</v>
      </c>
      <c r="N59" s="317" t="s">
        <v>535</v>
      </c>
      <c r="O59" s="309" t="s">
        <v>536</v>
      </c>
      <c r="P59" s="309" t="s">
        <v>774</v>
      </c>
      <c r="Q59" s="314" t="s">
        <v>775</v>
      </c>
      <c r="R59" s="308"/>
      <c r="S59" s="309"/>
      <c r="T59" s="308"/>
      <c r="U59" s="309"/>
    </row>
    <row r="60" spans="1:21" s="284" customFormat="1" ht="55.2" hidden="1" x14ac:dyDescent="0.3">
      <c r="A60" s="305">
        <f t="shared" si="0"/>
        <v>57</v>
      </c>
      <c r="B60" s="305">
        <v>1</v>
      </c>
      <c r="C60" s="306" t="s">
        <v>505</v>
      </c>
      <c r="D60" s="306" t="s">
        <v>607</v>
      </c>
      <c r="E60" s="306" t="s">
        <v>554</v>
      </c>
      <c r="F60" s="308"/>
      <c r="G60" s="312"/>
      <c r="H60" s="312"/>
      <c r="I60" s="312"/>
      <c r="J60" s="312"/>
      <c r="K60" s="312"/>
      <c r="L60" s="312"/>
      <c r="M60" s="309"/>
      <c r="N60" s="309"/>
      <c r="O60" s="309"/>
      <c r="P60" s="309"/>
      <c r="Q60" s="309"/>
      <c r="R60" s="308"/>
      <c r="S60" s="309"/>
      <c r="T60" s="308"/>
      <c r="U60" s="309"/>
    </row>
    <row r="61" spans="1:21" s="284" customFormat="1" ht="55.2" hidden="1" x14ac:dyDescent="0.3">
      <c r="A61" s="305">
        <f t="shared" si="0"/>
        <v>58</v>
      </c>
      <c r="B61" s="305">
        <v>2</v>
      </c>
      <c r="C61" s="306" t="s">
        <v>505</v>
      </c>
      <c r="D61" s="306" t="s">
        <v>607</v>
      </c>
      <c r="E61" s="306" t="s">
        <v>145</v>
      </c>
      <c r="F61" s="308"/>
      <c r="G61" s="308"/>
      <c r="H61" s="308"/>
      <c r="I61" s="308"/>
      <c r="J61" s="308"/>
      <c r="K61" s="308"/>
      <c r="L61" s="308"/>
      <c r="M61" s="309" t="s">
        <v>211</v>
      </c>
      <c r="N61" s="309" t="s">
        <v>777</v>
      </c>
      <c r="O61" s="309" t="s">
        <v>776</v>
      </c>
      <c r="P61" s="309" t="s">
        <v>586</v>
      </c>
      <c r="Q61" s="309" t="s">
        <v>212</v>
      </c>
      <c r="R61" s="308"/>
      <c r="S61" s="310"/>
      <c r="T61" s="308"/>
      <c r="U61" s="310"/>
    </row>
    <row r="62" spans="1:21" s="284" customFormat="1" ht="55.2" hidden="1" x14ac:dyDescent="0.3">
      <c r="A62" s="305">
        <f t="shared" si="0"/>
        <v>59</v>
      </c>
      <c r="B62" s="305">
        <v>2</v>
      </c>
      <c r="C62" s="306" t="s">
        <v>505</v>
      </c>
      <c r="D62" s="306" t="s">
        <v>607</v>
      </c>
      <c r="E62" s="306" t="s">
        <v>33</v>
      </c>
      <c r="F62" s="308"/>
      <c r="G62" s="312"/>
      <c r="H62" s="312"/>
      <c r="I62" s="312"/>
      <c r="J62" s="312"/>
      <c r="K62" s="312"/>
      <c r="L62" s="312"/>
      <c r="M62" s="309"/>
      <c r="N62" s="309"/>
      <c r="O62" s="309"/>
      <c r="P62" s="309"/>
      <c r="Q62" s="309"/>
      <c r="R62" s="308"/>
      <c r="S62" s="310"/>
      <c r="T62" s="308"/>
      <c r="U62" s="310"/>
    </row>
    <row r="63" spans="1:21" s="284" customFormat="1" ht="55.2" hidden="1" x14ac:dyDescent="0.3">
      <c r="A63" s="305">
        <f t="shared" si="0"/>
        <v>60</v>
      </c>
      <c r="B63" s="313">
        <v>3</v>
      </c>
      <c r="C63" s="306" t="s">
        <v>505</v>
      </c>
      <c r="D63" s="306" t="s">
        <v>607</v>
      </c>
      <c r="E63" s="306" t="s">
        <v>686</v>
      </c>
      <c r="F63" s="308"/>
      <c r="G63" s="308"/>
      <c r="H63" s="308"/>
      <c r="I63" s="308"/>
      <c r="J63" s="308"/>
      <c r="K63" s="308"/>
      <c r="L63" s="308"/>
      <c r="M63" s="317" t="s">
        <v>229</v>
      </c>
      <c r="N63" s="317" t="s">
        <v>535</v>
      </c>
      <c r="O63" s="309" t="s">
        <v>536</v>
      </c>
      <c r="P63" s="309" t="s">
        <v>774</v>
      </c>
      <c r="Q63" s="314" t="s">
        <v>775</v>
      </c>
      <c r="R63" s="308"/>
      <c r="S63" s="309"/>
      <c r="T63" s="308"/>
      <c r="U63" s="309"/>
    </row>
    <row r="64" spans="1:21" s="284" customFormat="1" ht="55.2" hidden="1" x14ac:dyDescent="0.3">
      <c r="A64" s="305">
        <f t="shared" si="0"/>
        <v>61</v>
      </c>
      <c r="B64" s="313">
        <v>3</v>
      </c>
      <c r="C64" s="306" t="s">
        <v>505</v>
      </c>
      <c r="D64" s="306" t="s">
        <v>607</v>
      </c>
      <c r="E64" s="306" t="s">
        <v>687</v>
      </c>
      <c r="F64" s="308"/>
      <c r="G64" s="308"/>
      <c r="H64" s="308"/>
      <c r="I64" s="308"/>
      <c r="J64" s="308"/>
      <c r="K64" s="308"/>
      <c r="L64" s="308"/>
      <c r="M64" s="317" t="s">
        <v>229</v>
      </c>
      <c r="N64" s="317" t="s">
        <v>535</v>
      </c>
      <c r="O64" s="309" t="s">
        <v>536</v>
      </c>
      <c r="P64" s="309" t="s">
        <v>774</v>
      </c>
      <c r="Q64" s="314" t="s">
        <v>775</v>
      </c>
      <c r="R64" s="308"/>
      <c r="S64" s="309"/>
      <c r="T64" s="308"/>
      <c r="U64" s="309"/>
    </row>
    <row r="65" spans="1:21" s="284" customFormat="1" ht="55.2" hidden="1" x14ac:dyDescent="0.3">
      <c r="A65" s="305">
        <f t="shared" si="0"/>
        <v>62</v>
      </c>
      <c r="B65" s="305">
        <v>2</v>
      </c>
      <c r="C65" s="306" t="s">
        <v>505</v>
      </c>
      <c r="D65" s="306" t="s">
        <v>607</v>
      </c>
      <c r="E65" s="306" t="s">
        <v>455</v>
      </c>
      <c r="F65" s="308"/>
      <c r="G65" s="308"/>
      <c r="H65" s="308"/>
      <c r="I65" s="308"/>
      <c r="J65" s="308"/>
      <c r="K65" s="308"/>
      <c r="L65" s="308"/>
      <c r="M65" s="309"/>
      <c r="N65" s="309"/>
      <c r="O65" s="309"/>
      <c r="P65" s="309"/>
      <c r="Q65" s="309"/>
      <c r="R65" s="308"/>
      <c r="S65" s="309"/>
      <c r="T65" s="308"/>
      <c r="U65" s="309"/>
    </row>
    <row r="66" spans="1:21" s="284" customFormat="1" ht="55.2" hidden="1" x14ac:dyDescent="0.3">
      <c r="A66" s="305">
        <f t="shared" si="0"/>
        <v>63</v>
      </c>
      <c r="B66" s="305">
        <v>1</v>
      </c>
      <c r="C66" s="306" t="s">
        <v>505</v>
      </c>
      <c r="D66" s="306" t="s">
        <v>43</v>
      </c>
      <c r="E66" s="306" t="s">
        <v>16</v>
      </c>
      <c r="F66" s="308"/>
      <c r="G66" s="308"/>
      <c r="H66" s="308"/>
      <c r="I66" s="308"/>
      <c r="J66" s="308"/>
      <c r="K66" s="308"/>
      <c r="L66" s="308"/>
      <c r="M66" s="309" t="s">
        <v>211</v>
      </c>
      <c r="N66" s="309" t="s">
        <v>770</v>
      </c>
      <c r="O66" s="309" t="s">
        <v>650</v>
      </c>
      <c r="P66" s="309" t="s">
        <v>651</v>
      </c>
      <c r="Q66" s="309" t="s">
        <v>652</v>
      </c>
      <c r="R66" s="308"/>
      <c r="S66" s="309"/>
      <c r="T66" s="308"/>
      <c r="U66" s="309"/>
    </row>
    <row r="67" spans="1:21" s="284" customFormat="1" ht="27.6" hidden="1" x14ac:dyDescent="0.3">
      <c r="A67" s="305">
        <f t="shared" si="0"/>
        <v>64</v>
      </c>
      <c r="B67" s="305">
        <v>2</v>
      </c>
      <c r="C67" s="306" t="s">
        <v>505</v>
      </c>
      <c r="D67" s="306" t="s">
        <v>43</v>
      </c>
      <c r="E67" s="306" t="s">
        <v>556</v>
      </c>
      <c r="F67" s="308"/>
      <c r="G67" s="312"/>
      <c r="H67" s="312"/>
      <c r="I67" s="312"/>
      <c r="J67" s="312"/>
      <c r="K67" s="312"/>
      <c r="L67" s="312"/>
      <c r="M67" s="309"/>
      <c r="N67" s="309"/>
      <c r="O67" s="309"/>
      <c r="P67" s="309"/>
      <c r="Q67" s="309"/>
      <c r="R67" s="308"/>
      <c r="S67" s="309"/>
      <c r="T67" s="308"/>
      <c r="U67" s="309"/>
    </row>
    <row r="68" spans="1:21" s="284" customFormat="1" ht="27.6" hidden="1" x14ac:dyDescent="0.3">
      <c r="A68" s="305">
        <f t="shared" si="0"/>
        <v>65</v>
      </c>
      <c r="B68" s="313">
        <v>3</v>
      </c>
      <c r="C68" s="306" t="s">
        <v>505</v>
      </c>
      <c r="D68" s="306" t="s">
        <v>603</v>
      </c>
      <c r="E68" s="306" t="s">
        <v>189</v>
      </c>
      <c r="F68" s="308"/>
      <c r="G68" s="308"/>
      <c r="H68" s="308"/>
      <c r="I68" s="308"/>
      <c r="J68" s="308"/>
      <c r="K68" s="308"/>
      <c r="L68" s="308"/>
      <c r="M68" s="309" t="s">
        <v>211</v>
      </c>
      <c r="N68" s="309" t="s">
        <v>757</v>
      </c>
      <c r="O68" s="309" t="s">
        <v>388</v>
      </c>
      <c r="P68" s="309" t="s">
        <v>638</v>
      </c>
      <c r="Q68" s="309" t="s">
        <v>579</v>
      </c>
      <c r="R68" s="308"/>
      <c r="S68" s="309"/>
      <c r="T68" s="308"/>
      <c r="U68" s="309"/>
    </row>
    <row r="69" spans="1:21" s="284" customFormat="1" ht="27.6" hidden="1" x14ac:dyDescent="0.3">
      <c r="A69" s="305">
        <f t="shared" si="0"/>
        <v>66</v>
      </c>
      <c r="B69" s="313">
        <v>3</v>
      </c>
      <c r="C69" s="306" t="s">
        <v>505</v>
      </c>
      <c r="D69" s="306" t="s">
        <v>603</v>
      </c>
      <c r="E69" s="306" t="s">
        <v>188</v>
      </c>
      <c r="F69" s="308"/>
      <c r="G69" s="312"/>
      <c r="H69" s="312"/>
      <c r="I69" s="312"/>
      <c r="J69" s="312"/>
      <c r="K69" s="312"/>
      <c r="L69" s="312"/>
      <c r="M69" s="309"/>
      <c r="N69" s="309"/>
      <c r="O69" s="309"/>
      <c r="P69" s="309"/>
      <c r="Q69" s="309"/>
      <c r="R69" s="308"/>
      <c r="S69" s="309"/>
      <c r="T69" s="308"/>
      <c r="U69" s="309"/>
    </row>
    <row r="70" spans="1:21" s="284" customFormat="1" ht="55.2" hidden="1" x14ac:dyDescent="0.3">
      <c r="A70" s="305">
        <f t="shared" ref="A70:A133" si="1">A69+1</f>
        <v>67</v>
      </c>
      <c r="B70" s="305">
        <v>2</v>
      </c>
      <c r="C70" s="306" t="s">
        <v>505</v>
      </c>
      <c r="D70" s="306" t="s">
        <v>603</v>
      </c>
      <c r="E70" s="306" t="s">
        <v>555</v>
      </c>
      <c r="F70" s="308"/>
      <c r="G70" s="308"/>
      <c r="H70" s="308"/>
      <c r="I70" s="308"/>
      <c r="J70" s="308"/>
      <c r="K70" s="308"/>
      <c r="L70" s="308"/>
      <c r="M70" s="309" t="s">
        <v>211</v>
      </c>
      <c r="N70" s="309" t="s">
        <v>636</v>
      </c>
      <c r="O70" s="309" t="s">
        <v>580</v>
      </c>
      <c r="P70" s="309" t="s">
        <v>880</v>
      </c>
      <c r="Q70" s="291" t="s">
        <v>882</v>
      </c>
      <c r="R70" s="308"/>
      <c r="S70" s="309"/>
      <c r="T70" s="308"/>
      <c r="U70" s="309"/>
    </row>
    <row r="71" spans="1:21" s="284" customFormat="1" hidden="1" x14ac:dyDescent="0.3">
      <c r="A71" s="305">
        <f t="shared" si="1"/>
        <v>68</v>
      </c>
      <c r="B71" s="305">
        <v>2</v>
      </c>
      <c r="C71" s="306" t="s">
        <v>505</v>
      </c>
      <c r="D71" s="306" t="s">
        <v>603</v>
      </c>
      <c r="E71" s="306" t="s">
        <v>123</v>
      </c>
      <c r="F71" s="308"/>
      <c r="G71" s="312"/>
      <c r="H71" s="312"/>
      <c r="I71" s="312"/>
      <c r="J71" s="312"/>
      <c r="K71" s="312"/>
      <c r="L71" s="312"/>
      <c r="M71" s="309"/>
      <c r="N71" s="309"/>
      <c r="O71" s="309"/>
      <c r="P71" s="309"/>
      <c r="Q71" s="309"/>
      <c r="R71" s="308"/>
      <c r="S71" s="309"/>
      <c r="T71" s="308"/>
      <c r="U71" s="309"/>
    </row>
    <row r="72" spans="1:21" s="284" customFormat="1" ht="27.6" hidden="1" x14ac:dyDescent="0.3">
      <c r="A72" s="305">
        <f t="shared" si="1"/>
        <v>69</v>
      </c>
      <c r="B72" s="305">
        <v>1</v>
      </c>
      <c r="C72" s="306" t="s">
        <v>505</v>
      </c>
      <c r="D72" s="306" t="s">
        <v>603</v>
      </c>
      <c r="E72" s="306" t="s">
        <v>698</v>
      </c>
      <c r="F72" s="308"/>
      <c r="G72" s="308"/>
      <c r="H72" s="308"/>
      <c r="I72" s="308"/>
      <c r="J72" s="308"/>
      <c r="K72" s="308"/>
      <c r="L72" s="308"/>
      <c r="M72" s="309" t="s">
        <v>229</v>
      </c>
      <c r="N72" s="309" t="s">
        <v>778</v>
      </c>
      <c r="O72" s="309" t="s">
        <v>779</v>
      </c>
      <c r="P72" s="309" t="s">
        <v>780</v>
      </c>
      <c r="Q72" s="309" t="s">
        <v>232</v>
      </c>
      <c r="R72" s="308"/>
      <c r="S72" s="309"/>
      <c r="T72" s="308"/>
      <c r="U72" s="309"/>
    </row>
    <row r="73" spans="1:21" s="284" customFormat="1" hidden="1" x14ac:dyDescent="0.3">
      <c r="A73" s="305">
        <f t="shared" si="1"/>
        <v>70</v>
      </c>
      <c r="B73" s="305">
        <v>1</v>
      </c>
      <c r="C73" s="306" t="s">
        <v>505</v>
      </c>
      <c r="D73" s="306" t="s">
        <v>603</v>
      </c>
      <c r="E73" s="306" t="s">
        <v>575</v>
      </c>
      <c r="F73" s="308"/>
      <c r="G73" s="308"/>
      <c r="H73" s="308"/>
      <c r="I73" s="308"/>
      <c r="J73" s="308"/>
      <c r="K73" s="308"/>
      <c r="L73" s="308"/>
      <c r="M73" s="309"/>
      <c r="N73" s="309"/>
      <c r="O73" s="309"/>
      <c r="P73" s="309"/>
      <c r="Q73" s="309"/>
      <c r="R73" s="308"/>
      <c r="S73" s="309"/>
      <c r="T73" s="308"/>
      <c r="U73" s="309"/>
    </row>
    <row r="74" spans="1:21" s="284" customFormat="1" ht="55.2" hidden="1" x14ac:dyDescent="0.3">
      <c r="A74" s="305">
        <f t="shared" si="1"/>
        <v>71</v>
      </c>
      <c r="B74" s="305">
        <v>2</v>
      </c>
      <c r="C74" s="306" t="s">
        <v>505</v>
      </c>
      <c r="D74" s="306" t="s">
        <v>603</v>
      </c>
      <c r="E74" s="306" t="s">
        <v>576</v>
      </c>
      <c r="F74" s="308"/>
      <c r="G74" s="308"/>
      <c r="H74" s="308"/>
      <c r="I74" s="308"/>
      <c r="J74" s="308"/>
      <c r="K74" s="308"/>
      <c r="L74" s="308"/>
      <c r="M74" s="309" t="s">
        <v>211</v>
      </c>
      <c r="N74" s="309" t="s">
        <v>770</v>
      </c>
      <c r="O74" s="309" t="s">
        <v>639</v>
      </c>
      <c r="P74" s="314" t="s">
        <v>580</v>
      </c>
      <c r="Q74" s="309" t="s">
        <v>653</v>
      </c>
      <c r="R74" s="308"/>
      <c r="S74" s="309"/>
      <c r="T74" s="308"/>
      <c r="U74" s="309"/>
    </row>
    <row r="75" spans="1:21" s="284" customFormat="1" ht="27.6" hidden="1" x14ac:dyDescent="0.3">
      <c r="A75" s="305">
        <f t="shared" si="1"/>
        <v>72</v>
      </c>
      <c r="B75" s="305">
        <v>1</v>
      </c>
      <c r="C75" s="306" t="s">
        <v>505</v>
      </c>
      <c r="D75" s="306" t="s">
        <v>603</v>
      </c>
      <c r="E75" s="306" t="s">
        <v>692</v>
      </c>
      <c r="F75" s="308"/>
      <c r="G75" s="312"/>
      <c r="H75" s="312"/>
      <c r="I75" s="312"/>
      <c r="J75" s="312"/>
      <c r="K75" s="312"/>
      <c r="L75" s="312"/>
      <c r="M75" s="309"/>
      <c r="N75" s="309"/>
      <c r="O75" s="309"/>
      <c r="P75" s="309"/>
      <c r="Q75" s="309"/>
      <c r="R75" s="308"/>
      <c r="S75" s="309"/>
      <c r="T75" s="308"/>
      <c r="U75" s="309"/>
    </row>
    <row r="76" spans="1:21" s="284" customFormat="1" ht="41.4" hidden="1" x14ac:dyDescent="0.3">
      <c r="A76" s="305">
        <f t="shared" si="1"/>
        <v>73</v>
      </c>
      <c r="B76" s="305">
        <v>2</v>
      </c>
      <c r="C76" s="306" t="s">
        <v>505</v>
      </c>
      <c r="D76" s="306" t="s">
        <v>608</v>
      </c>
      <c r="E76" s="306" t="s">
        <v>15</v>
      </c>
      <c r="F76" s="308"/>
      <c r="G76" s="308"/>
      <c r="H76" s="308"/>
      <c r="I76" s="308"/>
      <c r="J76" s="308"/>
      <c r="K76" s="308"/>
      <c r="L76" s="308"/>
      <c r="M76" s="309" t="s">
        <v>211</v>
      </c>
      <c r="N76" s="309" t="s">
        <v>770</v>
      </c>
      <c r="O76" s="309" t="s">
        <v>580</v>
      </c>
      <c r="P76" s="309" t="s">
        <v>654</v>
      </c>
      <c r="Q76" s="309" t="s">
        <v>655</v>
      </c>
      <c r="R76" s="308"/>
      <c r="S76" s="309"/>
      <c r="T76" s="308"/>
      <c r="U76" s="309"/>
    </row>
    <row r="77" spans="1:21" s="284" customFormat="1" hidden="1" x14ac:dyDescent="0.3">
      <c r="A77" s="305">
        <f t="shared" si="1"/>
        <v>74</v>
      </c>
      <c r="B77" s="305">
        <v>2</v>
      </c>
      <c r="C77" s="306" t="s">
        <v>505</v>
      </c>
      <c r="D77" s="306" t="s">
        <v>608</v>
      </c>
      <c r="E77" s="306" t="s">
        <v>124</v>
      </c>
      <c r="F77" s="308"/>
      <c r="G77" s="312"/>
      <c r="H77" s="312"/>
      <c r="I77" s="312"/>
      <c r="J77" s="312"/>
      <c r="K77" s="312"/>
      <c r="L77" s="312"/>
      <c r="M77" s="309"/>
      <c r="N77" s="309"/>
      <c r="O77" s="309"/>
      <c r="P77" s="309"/>
      <c r="Q77" s="309"/>
      <c r="R77" s="308"/>
      <c r="S77" s="309"/>
      <c r="T77" s="308"/>
      <c r="U77" s="309"/>
    </row>
    <row r="78" spans="1:21" s="284" customFormat="1" ht="27.6" hidden="1" x14ac:dyDescent="0.3">
      <c r="A78" s="305">
        <f t="shared" si="1"/>
        <v>75</v>
      </c>
      <c r="B78" s="305">
        <v>2</v>
      </c>
      <c r="C78" s="306" t="s">
        <v>505</v>
      </c>
      <c r="D78" s="306" t="s">
        <v>46</v>
      </c>
      <c r="E78" s="306" t="s">
        <v>688</v>
      </c>
      <c r="F78" s="308"/>
      <c r="G78" s="308"/>
      <c r="H78" s="308"/>
      <c r="I78" s="308"/>
      <c r="J78" s="308"/>
      <c r="K78" s="308"/>
      <c r="L78" s="308"/>
      <c r="M78" s="317" t="s">
        <v>229</v>
      </c>
      <c r="N78" s="309" t="s">
        <v>778</v>
      </c>
      <c r="O78" s="309" t="s">
        <v>779</v>
      </c>
      <c r="P78" s="309" t="s">
        <v>780</v>
      </c>
      <c r="Q78" s="309" t="s">
        <v>232</v>
      </c>
      <c r="R78" s="308"/>
      <c r="S78" s="309"/>
      <c r="T78" s="308"/>
      <c r="U78" s="309"/>
    </row>
    <row r="79" spans="1:21" s="284" customFormat="1" hidden="1" x14ac:dyDescent="0.3">
      <c r="A79" s="305">
        <f t="shared" si="1"/>
        <v>76</v>
      </c>
      <c r="B79" s="305">
        <v>2</v>
      </c>
      <c r="C79" s="306" t="s">
        <v>505</v>
      </c>
      <c r="D79" s="306" t="s">
        <v>46</v>
      </c>
      <c r="E79" s="306" t="s">
        <v>17</v>
      </c>
      <c r="F79" s="308"/>
      <c r="G79" s="312"/>
      <c r="H79" s="312"/>
      <c r="I79" s="312"/>
      <c r="J79" s="312"/>
      <c r="K79" s="312"/>
      <c r="L79" s="312"/>
      <c r="M79" s="309"/>
      <c r="N79" s="309"/>
      <c r="O79" s="309"/>
      <c r="P79" s="309"/>
      <c r="Q79" s="309"/>
      <c r="R79" s="308"/>
      <c r="S79" s="309"/>
      <c r="T79" s="308"/>
      <c r="U79" s="309"/>
    </row>
    <row r="80" spans="1:21" s="284" customFormat="1" ht="27.6" hidden="1" x14ac:dyDescent="0.3">
      <c r="A80" s="305">
        <f t="shared" si="1"/>
        <v>77</v>
      </c>
      <c r="B80" s="305">
        <v>2</v>
      </c>
      <c r="C80" s="306" t="s">
        <v>505</v>
      </c>
      <c r="D80" s="306" t="s">
        <v>46</v>
      </c>
      <c r="E80" s="306" t="s">
        <v>456</v>
      </c>
      <c r="F80" s="308"/>
      <c r="G80" s="308"/>
      <c r="H80" s="308"/>
      <c r="I80" s="308"/>
      <c r="J80" s="308"/>
      <c r="K80" s="308"/>
      <c r="L80" s="308"/>
      <c r="M80" s="309" t="s">
        <v>211</v>
      </c>
      <c r="N80" s="309" t="s">
        <v>770</v>
      </c>
      <c r="O80" s="309" t="s">
        <v>580</v>
      </c>
      <c r="P80" s="284" t="s">
        <v>869</v>
      </c>
      <c r="Q80" s="309" t="s">
        <v>870</v>
      </c>
      <c r="R80" s="308"/>
      <c r="S80" s="309"/>
      <c r="T80" s="308"/>
      <c r="U80" s="309"/>
    </row>
    <row r="81" spans="1:21" s="284" customFormat="1" hidden="1" x14ac:dyDescent="0.3">
      <c r="A81" s="305">
        <f t="shared" si="1"/>
        <v>78</v>
      </c>
      <c r="B81" s="305">
        <v>2</v>
      </c>
      <c r="C81" s="306" t="s">
        <v>505</v>
      </c>
      <c r="D81" s="306" t="s">
        <v>46</v>
      </c>
      <c r="E81" s="306" t="s">
        <v>125</v>
      </c>
      <c r="F81" s="308"/>
      <c r="G81" s="312"/>
      <c r="H81" s="312"/>
      <c r="I81" s="312"/>
      <c r="J81" s="312"/>
      <c r="K81" s="312"/>
      <c r="L81" s="312"/>
      <c r="M81" s="309"/>
      <c r="N81" s="309"/>
      <c r="O81" s="309"/>
      <c r="P81" s="309"/>
      <c r="Q81" s="309"/>
      <c r="R81" s="308"/>
      <c r="S81" s="309"/>
      <c r="T81" s="308"/>
      <c r="U81" s="309"/>
    </row>
    <row r="82" spans="1:21" s="281" customFormat="1" ht="41.4" hidden="1" x14ac:dyDescent="0.3">
      <c r="A82" s="305">
        <f t="shared" si="1"/>
        <v>79</v>
      </c>
      <c r="B82" s="305">
        <v>1</v>
      </c>
      <c r="C82" s="306" t="s">
        <v>597</v>
      </c>
      <c r="D82" s="306" t="s">
        <v>57</v>
      </c>
      <c r="E82" s="307" t="s">
        <v>127</v>
      </c>
      <c r="F82" s="318"/>
      <c r="G82" s="318"/>
      <c r="H82" s="318"/>
      <c r="I82" s="318"/>
      <c r="J82" s="318"/>
      <c r="K82" s="318"/>
      <c r="L82" s="318"/>
      <c r="M82" s="309" t="s">
        <v>211</v>
      </c>
      <c r="N82" s="309" t="s">
        <v>781</v>
      </c>
      <c r="O82" s="309" t="s">
        <v>782</v>
      </c>
      <c r="P82" s="309" t="s">
        <v>783</v>
      </c>
      <c r="Q82" s="309" t="s">
        <v>784</v>
      </c>
      <c r="R82" s="308"/>
      <c r="S82" s="310"/>
      <c r="T82" s="308"/>
      <c r="U82" s="310"/>
    </row>
    <row r="83" spans="1:21" s="281" customFormat="1" ht="27.6" hidden="1" x14ac:dyDescent="0.3">
      <c r="A83" s="305">
        <f t="shared" si="1"/>
        <v>80</v>
      </c>
      <c r="B83" s="305">
        <v>1</v>
      </c>
      <c r="C83" s="306" t="s">
        <v>597</v>
      </c>
      <c r="D83" s="306" t="s">
        <v>57</v>
      </c>
      <c r="E83" s="307" t="s">
        <v>476</v>
      </c>
      <c r="F83" s="312"/>
      <c r="G83" s="318"/>
      <c r="H83" s="312"/>
      <c r="I83" s="312"/>
      <c r="J83" s="312"/>
      <c r="K83" s="312"/>
      <c r="L83" s="312"/>
      <c r="M83" s="309"/>
      <c r="N83" s="309"/>
      <c r="O83" s="309"/>
      <c r="P83" s="309"/>
      <c r="Q83" s="309"/>
      <c r="R83" s="308"/>
      <c r="S83" s="310"/>
      <c r="T83" s="308"/>
      <c r="U83" s="310"/>
    </row>
    <row r="84" spans="1:21" s="281" customFormat="1" ht="27.6" hidden="1" x14ac:dyDescent="0.3">
      <c r="A84" s="305">
        <f t="shared" si="1"/>
        <v>81</v>
      </c>
      <c r="B84" s="305">
        <v>2</v>
      </c>
      <c r="C84" s="306" t="s">
        <v>597</v>
      </c>
      <c r="D84" s="306" t="s">
        <v>57</v>
      </c>
      <c r="E84" s="307" t="s">
        <v>491</v>
      </c>
      <c r="F84" s="318"/>
      <c r="G84" s="318"/>
      <c r="H84" s="318"/>
      <c r="I84" s="318"/>
      <c r="J84" s="318"/>
      <c r="K84" s="318"/>
      <c r="L84" s="318"/>
      <c r="M84" s="309"/>
      <c r="N84" s="309"/>
      <c r="O84" s="309"/>
      <c r="P84" s="309"/>
      <c r="Q84" s="309"/>
      <c r="R84" s="308"/>
      <c r="S84" s="310"/>
      <c r="T84" s="308"/>
      <c r="U84" s="310"/>
    </row>
    <row r="85" spans="1:21" s="281" customFormat="1" ht="27.6" hidden="1" x14ac:dyDescent="0.3">
      <c r="A85" s="305">
        <f t="shared" si="1"/>
        <v>82</v>
      </c>
      <c r="B85" s="305">
        <v>2</v>
      </c>
      <c r="C85" s="306" t="s">
        <v>597</v>
      </c>
      <c r="D85" s="306" t="s">
        <v>57</v>
      </c>
      <c r="E85" s="307" t="s">
        <v>149</v>
      </c>
      <c r="F85" s="312"/>
      <c r="G85" s="318"/>
      <c r="H85" s="312"/>
      <c r="I85" s="312"/>
      <c r="J85" s="312"/>
      <c r="K85" s="312"/>
      <c r="L85" s="312"/>
      <c r="M85" s="309"/>
      <c r="N85" s="309"/>
      <c r="O85" s="309"/>
      <c r="P85" s="309"/>
      <c r="Q85" s="309"/>
      <c r="R85" s="308"/>
      <c r="S85" s="310"/>
      <c r="T85" s="308"/>
      <c r="U85" s="310"/>
    </row>
    <row r="86" spans="1:21" s="281" customFormat="1" ht="41.4" hidden="1" x14ac:dyDescent="0.3">
      <c r="A86" s="305">
        <f t="shared" si="1"/>
        <v>83</v>
      </c>
      <c r="B86" s="305">
        <v>1</v>
      </c>
      <c r="C86" s="306" t="s">
        <v>597</v>
      </c>
      <c r="D86" s="306" t="s">
        <v>57</v>
      </c>
      <c r="E86" s="307" t="s">
        <v>29</v>
      </c>
      <c r="F86" s="318"/>
      <c r="G86" s="318"/>
      <c r="H86" s="318"/>
      <c r="I86" s="318"/>
      <c r="J86" s="318"/>
      <c r="K86" s="318"/>
      <c r="L86" s="318"/>
      <c r="M86" s="309" t="s">
        <v>211</v>
      </c>
      <c r="N86" s="309" t="s">
        <v>770</v>
      </c>
      <c r="O86" s="309" t="s">
        <v>580</v>
      </c>
      <c r="P86" s="309" t="s">
        <v>785</v>
      </c>
      <c r="Q86" s="309" t="s">
        <v>786</v>
      </c>
      <c r="R86" s="308"/>
      <c r="S86" s="310"/>
      <c r="T86" s="308"/>
      <c r="U86" s="310"/>
    </row>
    <row r="87" spans="1:21" s="281" customFormat="1" ht="41.4" hidden="1" x14ac:dyDescent="0.3">
      <c r="A87" s="305">
        <f t="shared" si="1"/>
        <v>84</v>
      </c>
      <c r="B87" s="313">
        <v>3</v>
      </c>
      <c r="C87" s="306" t="s">
        <v>597</v>
      </c>
      <c r="D87" s="306" t="s">
        <v>57</v>
      </c>
      <c r="E87" s="307" t="s">
        <v>599</v>
      </c>
      <c r="F87" s="318"/>
      <c r="G87" s="318"/>
      <c r="H87" s="318"/>
      <c r="I87" s="318"/>
      <c r="J87" s="318"/>
      <c r="K87" s="318"/>
      <c r="L87" s="318"/>
      <c r="M87" s="309" t="s">
        <v>211</v>
      </c>
      <c r="N87" s="309" t="s">
        <v>770</v>
      </c>
      <c r="O87" s="309" t="s">
        <v>580</v>
      </c>
      <c r="P87" s="309" t="s">
        <v>656</v>
      </c>
      <c r="Q87" s="309" t="s">
        <v>657</v>
      </c>
      <c r="R87" s="308"/>
      <c r="S87" s="310"/>
      <c r="T87" s="308"/>
      <c r="U87" s="310"/>
    </row>
    <row r="88" spans="1:21" s="281" customFormat="1" ht="27.6" hidden="1" x14ac:dyDescent="0.3">
      <c r="A88" s="305">
        <f t="shared" si="1"/>
        <v>85</v>
      </c>
      <c r="B88" s="313">
        <v>3</v>
      </c>
      <c r="C88" s="306" t="s">
        <v>597</v>
      </c>
      <c r="D88" s="306" t="s">
        <v>57</v>
      </c>
      <c r="E88" s="307" t="s">
        <v>30</v>
      </c>
      <c r="F88" s="312"/>
      <c r="G88" s="318"/>
      <c r="H88" s="312"/>
      <c r="I88" s="312"/>
      <c r="J88" s="312"/>
      <c r="K88" s="312"/>
      <c r="L88" s="312"/>
      <c r="M88" s="309"/>
      <c r="N88" s="309"/>
      <c r="O88" s="309"/>
      <c r="P88" s="309"/>
      <c r="Q88" s="309"/>
      <c r="R88" s="308"/>
      <c r="S88" s="310"/>
      <c r="T88" s="308"/>
      <c r="U88" s="310"/>
    </row>
    <row r="89" spans="1:21" s="281" customFormat="1" ht="27.6" hidden="1" x14ac:dyDescent="0.3">
      <c r="A89" s="305">
        <f t="shared" si="1"/>
        <v>86</v>
      </c>
      <c r="B89" s="316">
        <v>1</v>
      </c>
      <c r="C89" s="306" t="s">
        <v>597</v>
      </c>
      <c r="D89" s="306" t="s">
        <v>57</v>
      </c>
      <c r="E89" s="307" t="s">
        <v>689</v>
      </c>
      <c r="F89" s="318"/>
      <c r="G89" s="318"/>
      <c r="H89" s="318"/>
      <c r="I89" s="318"/>
      <c r="J89" s="318"/>
      <c r="K89" s="318"/>
      <c r="L89" s="318"/>
      <c r="M89" s="317" t="s">
        <v>229</v>
      </c>
      <c r="N89" s="309" t="s">
        <v>778</v>
      </c>
      <c r="O89" s="309" t="s">
        <v>779</v>
      </c>
      <c r="P89" s="309" t="s">
        <v>780</v>
      </c>
      <c r="Q89" s="309" t="s">
        <v>232</v>
      </c>
      <c r="R89" s="308"/>
      <c r="S89" s="310"/>
      <c r="T89" s="308"/>
      <c r="U89" s="310"/>
    </row>
    <row r="90" spans="1:21" s="281" customFormat="1" ht="41.4" hidden="1" x14ac:dyDescent="0.3">
      <c r="A90" s="305">
        <f t="shared" si="1"/>
        <v>87</v>
      </c>
      <c r="B90" s="313">
        <v>3</v>
      </c>
      <c r="C90" s="306" t="s">
        <v>597</v>
      </c>
      <c r="D90" s="306" t="s">
        <v>57</v>
      </c>
      <c r="E90" s="307" t="s">
        <v>129</v>
      </c>
      <c r="F90" s="318"/>
      <c r="G90" s="318"/>
      <c r="H90" s="318"/>
      <c r="I90" s="318"/>
      <c r="J90" s="318"/>
      <c r="K90" s="318"/>
      <c r="L90" s="318"/>
      <c r="M90" s="309" t="s">
        <v>658</v>
      </c>
      <c r="N90" s="309" t="s">
        <v>768</v>
      </c>
      <c r="O90" s="309" t="s">
        <v>787</v>
      </c>
      <c r="P90" s="309" t="s">
        <v>393</v>
      </c>
      <c r="Q90" s="309" t="s">
        <v>849</v>
      </c>
      <c r="R90" s="308"/>
      <c r="S90" s="310"/>
      <c r="T90" s="308"/>
      <c r="U90" s="310"/>
    </row>
    <row r="91" spans="1:21" s="281" customFormat="1" ht="27.6" hidden="1" x14ac:dyDescent="0.3">
      <c r="A91" s="305">
        <f t="shared" si="1"/>
        <v>88</v>
      </c>
      <c r="B91" s="313">
        <v>3</v>
      </c>
      <c r="C91" s="306" t="s">
        <v>597</v>
      </c>
      <c r="D91" s="306" t="s">
        <v>57</v>
      </c>
      <c r="E91" s="307" t="s">
        <v>50</v>
      </c>
      <c r="F91" s="312"/>
      <c r="G91" s="318"/>
      <c r="H91" s="312"/>
      <c r="I91" s="312"/>
      <c r="J91" s="312"/>
      <c r="K91" s="312"/>
      <c r="L91" s="312"/>
      <c r="M91" s="309"/>
      <c r="N91" s="309"/>
      <c r="O91" s="309"/>
      <c r="P91" s="309"/>
      <c r="Q91" s="309"/>
      <c r="R91" s="308"/>
      <c r="S91" s="310"/>
      <c r="T91" s="308"/>
      <c r="U91" s="310"/>
    </row>
    <row r="92" spans="1:21" s="281" customFormat="1" ht="41.4" hidden="1" x14ac:dyDescent="0.3">
      <c r="A92" s="305">
        <f t="shared" si="1"/>
        <v>89</v>
      </c>
      <c r="B92" s="305">
        <v>1</v>
      </c>
      <c r="C92" s="306" t="s">
        <v>597</v>
      </c>
      <c r="D92" s="306" t="s">
        <v>57</v>
      </c>
      <c r="E92" s="307" t="s">
        <v>598</v>
      </c>
      <c r="F92" s="318"/>
      <c r="G92" s="318"/>
      <c r="H92" s="318"/>
      <c r="I92" s="318"/>
      <c r="J92" s="318"/>
      <c r="K92" s="318"/>
      <c r="L92" s="318"/>
      <c r="M92" s="309" t="s">
        <v>587</v>
      </c>
      <c r="N92" s="309" t="s">
        <v>788</v>
      </c>
      <c r="O92" s="309" t="s">
        <v>659</v>
      </c>
      <c r="P92" s="309" t="s">
        <v>789</v>
      </c>
      <c r="Q92" s="309" t="s">
        <v>790</v>
      </c>
      <c r="R92" s="308"/>
      <c r="S92" s="310"/>
      <c r="T92" s="308"/>
      <c r="U92" s="310"/>
    </row>
    <row r="93" spans="1:21" s="281" customFormat="1" ht="27.6" hidden="1" x14ac:dyDescent="0.3">
      <c r="A93" s="305">
        <f t="shared" si="1"/>
        <v>90</v>
      </c>
      <c r="B93" s="316">
        <v>2</v>
      </c>
      <c r="C93" s="306" t="s">
        <v>597</v>
      </c>
      <c r="D93" s="306" t="s">
        <v>57</v>
      </c>
      <c r="E93" s="307" t="s">
        <v>166</v>
      </c>
      <c r="F93" s="318"/>
      <c r="G93" s="318"/>
      <c r="H93" s="318"/>
      <c r="I93" s="318"/>
      <c r="J93" s="318"/>
      <c r="K93" s="318"/>
      <c r="L93" s="318"/>
      <c r="M93" s="309"/>
      <c r="N93" s="309"/>
      <c r="O93" s="309"/>
      <c r="P93" s="309"/>
      <c r="Q93" s="310"/>
      <c r="R93" s="308"/>
      <c r="S93" s="310"/>
      <c r="T93" s="308"/>
      <c r="U93" s="310"/>
    </row>
    <row r="94" spans="1:21" s="281" customFormat="1" ht="27.6" hidden="1" x14ac:dyDescent="0.3">
      <c r="A94" s="305">
        <f t="shared" si="1"/>
        <v>91</v>
      </c>
      <c r="B94" s="316">
        <v>2</v>
      </c>
      <c r="C94" s="306" t="s">
        <v>597</v>
      </c>
      <c r="D94" s="306" t="s">
        <v>57</v>
      </c>
      <c r="E94" s="307" t="s">
        <v>699</v>
      </c>
      <c r="F94" s="318"/>
      <c r="G94" s="318"/>
      <c r="H94" s="318"/>
      <c r="I94" s="318"/>
      <c r="J94" s="318"/>
      <c r="K94" s="318"/>
      <c r="L94" s="318"/>
      <c r="M94" s="309" t="s">
        <v>211</v>
      </c>
      <c r="N94" s="309" t="s">
        <v>353</v>
      </c>
      <c r="O94" s="309" t="s">
        <v>588</v>
      </c>
      <c r="P94" s="310" t="s">
        <v>791</v>
      </c>
      <c r="Q94" s="309" t="s">
        <v>792</v>
      </c>
      <c r="R94" s="308"/>
      <c r="S94" s="310"/>
      <c r="T94" s="308"/>
      <c r="U94" s="310"/>
    </row>
    <row r="95" spans="1:21" s="281" customFormat="1" ht="27.6" hidden="1" x14ac:dyDescent="0.3">
      <c r="A95" s="305">
        <f t="shared" si="1"/>
        <v>92</v>
      </c>
      <c r="B95" s="316">
        <v>2</v>
      </c>
      <c r="C95" s="306" t="s">
        <v>597</v>
      </c>
      <c r="D95" s="306" t="s">
        <v>57</v>
      </c>
      <c r="E95" s="307" t="s">
        <v>64</v>
      </c>
      <c r="F95" s="312"/>
      <c r="G95" s="318"/>
      <c r="H95" s="312"/>
      <c r="I95" s="312"/>
      <c r="J95" s="312"/>
      <c r="K95" s="312"/>
      <c r="L95" s="312"/>
      <c r="M95" s="309"/>
      <c r="N95" s="309"/>
      <c r="O95" s="309"/>
      <c r="P95" s="309"/>
      <c r="Q95" s="309"/>
      <c r="R95" s="308"/>
      <c r="S95" s="310"/>
      <c r="T95" s="308"/>
      <c r="U95" s="310"/>
    </row>
    <row r="96" spans="1:21" s="281" customFormat="1" ht="27.6" hidden="1" x14ac:dyDescent="0.3">
      <c r="A96" s="305">
        <f t="shared" si="1"/>
        <v>93</v>
      </c>
      <c r="B96" s="316">
        <v>2</v>
      </c>
      <c r="C96" s="306" t="s">
        <v>597</v>
      </c>
      <c r="D96" s="306" t="s">
        <v>57</v>
      </c>
      <c r="E96" s="307" t="s">
        <v>619</v>
      </c>
      <c r="F96" s="312"/>
      <c r="G96" s="318"/>
      <c r="H96" s="312"/>
      <c r="I96" s="312"/>
      <c r="J96" s="312"/>
      <c r="K96" s="312"/>
      <c r="L96" s="312"/>
      <c r="M96" s="309" t="s">
        <v>587</v>
      </c>
      <c r="N96" s="309" t="s">
        <v>580</v>
      </c>
      <c r="O96" s="309" t="s">
        <v>589</v>
      </c>
      <c r="P96" s="309" t="s">
        <v>395</v>
      </c>
      <c r="Q96" s="309" t="s">
        <v>579</v>
      </c>
      <c r="R96" s="308"/>
      <c r="S96" s="310"/>
      <c r="T96" s="308"/>
      <c r="U96" s="310"/>
    </row>
    <row r="97" spans="1:21" s="281" customFormat="1" ht="27.6" hidden="1" x14ac:dyDescent="0.3">
      <c r="A97" s="305">
        <f t="shared" si="1"/>
        <v>94</v>
      </c>
      <c r="B97" s="316">
        <v>2</v>
      </c>
      <c r="C97" s="306" t="s">
        <v>597</v>
      </c>
      <c r="D97" s="306" t="s">
        <v>57</v>
      </c>
      <c r="E97" s="307" t="s">
        <v>700</v>
      </c>
      <c r="F97" s="318"/>
      <c r="G97" s="318"/>
      <c r="H97" s="318"/>
      <c r="I97" s="318"/>
      <c r="J97" s="318"/>
      <c r="K97" s="318"/>
      <c r="L97" s="318"/>
      <c r="M97" s="309" t="s">
        <v>587</v>
      </c>
      <c r="N97" s="309" t="s">
        <v>580</v>
      </c>
      <c r="O97" s="309" t="s">
        <v>589</v>
      </c>
      <c r="P97" s="309" t="s">
        <v>395</v>
      </c>
      <c r="Q97" s="309" t="s">
        <v>579</v>
      </c>
      <c r="R97" s="308"/>
      <c r="S97" s="310"/>
      <c r="T97" s="308"/>
      <c r="U97" s="310"/>
    </row>
    <row r="98" spans="1:21" s="281" customFormat="1" ht="27.6" hidden="1" x14ac:dyDescent="0.3">
      <c r="A98" s="305">
        <f t="shared" si="1"/>
        <v>95</v>
      </c>
      <c r="B98" s="316">
        <v>2</v>
      </c>
      <c r="C98" s="306" t="s">
        <v>597</v>
      </c>
      <c r="D98" s="306" t="s">
        <v>57</v>
      </c>
      <c r="E98" s="307" t="s">
        <v>30</v>
      </c>
      <c r="F98" s="312"/>
      <c r="G98" s="318"/>
      <c r="H98" s="312"/>
      <c r="I98" s="312"/>
      <c r="J98" s="312"/>
      <c r="K98" s="312"/>
      <c r="L98" s="312"/>
      <c r="M98" s="309"/>
      <c r="N98" s="309"/>
      <c r="O98" s="309"/>
      <c r="P98" s="309"/>
      <c r="Q98" s="309"/>
      <c r="R98" s="308"/>
      <c r="S98" s="310"/>
      <c r="T98" s="308"/>
      <c r="U98" s="310"/>
    </row>
    <row r="99" spans="1:21" s="281" customFormat="1" ht="27.6" hidden="1" x14ac:dyDescent="0.3">
      <c r="A99" s="305">
        <f t="shared" si="1"/>
        <v>96</v>
      </c>
      <c r="B99" s="316">
        <v>2</v>
      </c>
      <c r="C99" s="306" t="s">
        <v>597</v>
      </c>
      <c r="D99" s="306" t="s">
        <v>57</v>
      </c>
      <c r="E99" s="307" t="s">
        <v>620</v>
      </c>
      <c r="F99" s="312"/>
      <c r="G99" s="318"/>
      <c r="H99" s="312"/>
      <c r="I99" s="312"/>
      <c r="J99" s="312"/>
      <c r="K99" s="312"/>
      <c r="L99" s="312"/>
      <c r="M99" s="309" t="s">
        <v>587</v>
      </c>
      <c r="N99" s="309" t="s">
        <v>580</v>
      </c>
      <c r="O99" s="309" t="s">
        <v>589</v>
      </c>
      <c r="P99" s="309" t="s">
        <v>395</v>
      </c>
      <c r="Q99" s="309" t="s">
        <v>579</v>
      </c>
      <c r="R99" s="308"/>
      <c r="S99" s="310"/>
      <c r="T99" s="308"/>
      <c r="U99" s="310"/>
    </row>
    <row r="100" spans="1:21" s="281" customFormat="1" ht="27.6" hidden="1" x14ac:dyDescent="0.3">
      <c r="A100" s="305">
        <f t="shared" si="1"/>
        <v>97</v>
      </c>
      <c r="B100" s="313">
        <v>3</v>
      </c>
      <c r="C100" s="306" t="s">
        <v>597</v>
      </c>
      <c r="D100" s="306" t="s">
        <v>56</v>
      </c>
      <c r="E100" s="307" t="s">
        <v>20</v>
      </c>
      <c r="F100" s="312"/>
      <c r="G100" s="318"/>
      <c r="H100" s="312"/>
      <c r="I100" s="312"/>
      <c r="J100" s="312"/>
      <c r="K100" s="312"/>
      <c r="L100" s="312"/>
      <c r="M100" s="309"/>
      <c r="N100" s="309"/>
      <c r="O100" s="309"/>
      <c r="P100" s="309"/>
      <c r="Q100" s="309"/>
      <c r="R100" s="308"/>
      <c r="S100" s="310"/>
      <c r="T100" s="308"/>
      <c r="U100" s="310"/>
    </row>
    <row r="101" spans="1:21" s="281" customFormat="1" ht="27.6" hidden="1" x14ac:dyDescent="0.3">
      <c r="A101" s="305">
        <f t="shared" si="1"/>
        <v>98</v>
      </c>
      <c r="B101" s="305">
        <v>1</v>
      </c>
      <c r="C101" s="306" t="s">
        <v>597</v>
      </c>
      <c r="D101" s="306" t="s">
        <v>56</v>
      </c>
      <c r="E101" s="307" t="s">
        <v>557</v>
      </c>
      <c r="F101" s="318"/>
      <c r="G101" s="318"/>
      <c r="H101" s="318"/>
      <c r="I101" s="318"/>
      <c r="J101" s="318"/>
      <c r="K101" s="318"/>
      <c r="L101" s="318"/>
      <c r="M101" s="309" t="s">
        <v>211</v>
      </c>
      <c r="N101" s="309" t="s">
        <v>580</v>
      </c>
      <c r="O101" s="309" t="s">
        <v>492</v>
      </c>
      <c r="P101" s="309" t="s">
        <v>493</v>
      </c>
      <c r="Q101" s="309" t="s">
        <v>494</v>
      </c>
      <c r="R101" s="308"/>
      <c r="S101" s="310"/>
      <c r="T101" s="308"/>
      <c r="U101" s="310"/>
    </row>
    <row r="102" spans="1:21" s="281" customFormat="1" ht="27.6" hidden="1" x14ac:dyDescent="0.3">
      <c r="A102" s="305">
        <f t="shared" si="1"/>
        <v>99</v>
      </c>
      <c r="B102" s="305">
        <v>1</v>
      </c>
      <c r="C102" s="306" t="s">
        <v>597</v>
      </c>
      <c r="D102" s="306" t="s">
        <v>56</v>
      </c>
      <c r="E102" s="307" t="s">
        <v>155</v>
      </c>
      <c r="F102" s="312"/>
      <c r="G102" s="318"/>
      <c r="H102" s="312"/>
      <c r="I102" s="312"/>
      <c r="J102" s="312"/>
      <c r="K102" s="312"/>
      <c r="L102" s="312"/>
      <c r="M102" s="309"/>
      <c r="N102" s="309"/>
      <c r="O102" s="309"/>
      <c r="P102" s="309"/>
      <c r="Q102" s="309"/>
      <c r="R102" s="308"/>
      <c r="S102" s="310"/>
      <c r="T102" s="308"/>
      <c r="U102" s="310"/>
    </row>
    <row r="103" spans="1:21" s="281" customFormat="1" ht="27.6" hidden="1" x14ac:dyDescent="0.3">
      <c r="A103" s="305">
        <f t="shared" si="1"/>
        <v>100</v>
      </c>
      <c r="B103" s="305">
        <v>1</v>
      </c>
      <c r="C103" s="306" t="s">
        <v>597</v>
      </c>
      <c r="D103" s="306" t="s">
        <v>56</v>
      </c>
      <c r="E103" s="307" t="s">
        <v>59</v>
      </c>
      <c r="F103" s="318"/>
      <c r="G103" s="318"/>
      <c r="H103" s="318"/>
      <c r="I103" s="318"/>
      <c r="J103" s="318"/>
      <c r="K103" s="318"/>
      <c r="L103" s="318"/>
      <c r="M103" s="309" t="s">
        <v>211</v>
      </c>
      <c r="N103" s="309" t="s">
        <v>580</v>
      </c>
      <c r="O103" s="309" t="s">
        <v>492</v>
      </c>
      <c r="P103" s="309" t="s">
        <v>493</v>
      </c>
      <c r="Q103" s="309" t="s">
        <v>494</v>
      </c>
      <c r="R103" s="308"/>
      <c r="S103" s="310"/>
      <c r="T103" s="308"/>
      <c r="U103" s="310"/>
    </row>
    <row r="104" spans="1:21" s="281" customFormat="1" ht="27.6" hidden="1" x14ac:dyDescent="0.3">
      <c r="A104" s="305">
        <f t="shared" si="1"/>
        <v>101</v>
      </c>
      <c r="B104" s="305">
        <v>2</v>
      </c>
      <c r="C104" s="306" t="s">
        <v>597</v>
      </c>
      <c r="D104" s="306" t="s">
        <v>56</v>
      </c>
      <c r="E104" s="307" t="s">
        <v>18</v>
      </c>
      <c r="F104" s="318"/>
      <c r="G104" s="318"/>
      <c r="H104" s="318"/>
      <c r="I104" s="318"/>
      <c r="J104" s="318"/>
      <c r="K104" s="318"/>
      <c r="L104" s="318"/>
      <c r="M104" s="309" t="s">
        <v>587</v>
      </c>
      <c r="N104" s="309" t="s">
        <v>580</v>
      </c>
      <c r="O104" s="309" t="s">
        <v>589</v>
      </c>
      <c r="P104" s="309" t="s">
        <v>395</v>
      </c>
      <c r="Q104" s="309" t="s">
        <v>579</v>
      </c>
      <c r="R104" s="308"/>
      <c r="S104" s="310"/>
      <c r="T104" s="308"/>
      <c r="U104" s="310"/>
    </row>
    <row r="105" spans="1:21" s="281" customFormat="1" ht="27.6" hidden="1" x14ac:dyDescent="0.3">
      <c r="A105" s="305">
        <f t="shared" si="1"/>
        <v>102</v>
      </c>
      <c r="B105" s="305">
        <v>2</v>
      </c>
      <c r="C105" s="306" t="s">
        <v>597</v>
      </c>
      <c r="D105" s="306" t="s">
        <v>56</v>
      </c>
      <c r="E105" s="307" t="s">
        <v>19</v>
      </c>
      <c r="F105" s="318"/>
      <c r="G105" s="318"/>
      <c r="H105" s="318"/>
      <c r="I105" s="318"/>
      <c r="J105" s="318"/>
      <c r="K105" s="318"/>
      <c r="L105" s="318"/>
      <c r="M105" s="309" t="s">
        <v>587</v>
      </c>
      <c r="N105" s="309" t="s">
        <v>580</v>
      </c>
      <c r="O105" s="309" t="s">
        <v>589</v>
      </c>
      <c r="P105" s="309" t="s">
        <v>395</v>
      </c>
      <c r="Q105" s="309" t="s">
        <v>579</v>
      </c>
      <c r="R105" s="308"/>
      <c r="S105" s="310"/>
      <c r="T105" s="308"/>
      <c r="U105" s="310"/>
    </row>
    <row r="106" spans="1:21" s="281" customFormat="1" ht="27.6" hidden="1" x14ac:dyDescent="0.3">
      <c r="A106" s="305">
        <f t="shared" si="1"/>
        <v>103</v>
      </c>
      <c r="B106" s="305">
        <v>2</v>
      </c>
      <c r="C106" s="306" t="s">
        <v>597</v>
      </c>
      <c r="D106" s="306" t="s">
        <v>56</v>
      </c>
      <c r="E106" s="307" t="s">
        <v>524</v>
      </c>
      <c r="F106" s="318"/>
      <c r="G106" s="318"/>
      <c r="H106" s="318"/>
      <c r="I106" s="318"/>
      <c r="J106" s="318"/>
      <c r="K106" s="318"/>
      <c r="L106" s="318"/>
      <c r="M106" s="309" t="s">
        <v>587</v>
      </c>
      <c r="N106" s="309" t="s">
        <v>580</v>
      </c>
      <c r="O106" s="309" t="s">
        <v>589</v>
      </c>
      <c r="P106" s="309" t="s">
        <v>395</v>
      </c>
      <c r="Q106" s="309" t="s">
        <v>579</v>
      </c>
      <c r="R106" s="308"/>
      <c r="S106" s="310"/>
      <c r="T106" s="308"/>
      <c r="U106" s="310"/>
    </row>
    <row r="107" spans="1:21" s="281" customFormat="1" ht="27.6" hidden="1" x14ac:dyDescent="0.3">
      <c r="A107" s="305">
        <f t="shared" si="1"/>
        <v>104</v>
      </c>
      <c r="B107" s="305">
        <v>1</v>
      </c>
      <c r="C107" s="306" t="s">
        <v>597</v>
      </c>
      <c r="D107" s="306" t="s">
        <v>56</v>
      </c>
      <c r="E107" s="307" t="s">
        <v>566</v>
      </c>
      <c r="F107" s="318"/>
      <c r="G107" s="318"/>
      <c r="H107" s="318"/>
      <c r="I107" s="318"/>
      <c r="J107" s="318"/>
      <c r="K107" s="318"/>
      <c r="L107" s="318"/>
      <c r="M107" s="309" t="s">
        <v>211</v>
      </c>
      <c r="N107" s="309" t="s">
        <v>580</v>
      </c>
      <c r="O107" s="309" t="s">
        <v>589</v>
      </c>
      <c r="P107" s="309" t="s">
        <v>395</v>
      </c>
      <c r="Q107" s="309" t="s">
        <v>579</v>
      </c>
      <c r="R107" s="308"/>
      <c r="S107" s="310"/>
      <c r="T107" s="308"/>
      <c r="U107" s="310"/>
    </row>
    <row r="108" spans="1:21" s="281" customFormat="1" ht="27.6" hidden="1" x14ac:dyDescent="0.3">
      <c r="A108" s="305">
        <f t="shared" si="1"/>
        <v>105</v>
      </c>
      <c r="B108" s="305">
        <v>1</v>
      </c>
      <c r="C108" s="306" t="s">
        <v>597</v>
      </c>
      <c r="D108" s="306" t="s">
        <v>56</v>
      </c>
      <c r="E108" s="307" t="s">
        <v>58</v>
      </c>
      <c r="F108" s="312"/>
      <c r="G108" s="318"/>
      <c r="H108" s="312"/>
      <c r="I108" s="312"/>
      <c r="J108" s="312"/>
      <c r="K108" s="312"/>
      <c r="L108" s="312"/>
      <c r="M108" s="309"/>
      <c r="N108" s="309"/>
      <c r="O108" s="309"/>
      <c r="P108" s="309"/>
      <c r="Q108" s="309"/>
      <c r="R108" s="308"/>
      <c r="S108" s="310"/>
      <c r="T108" s="308"/>
      <c r="U108" s="310"/>
    </row>
    <row r="109" spans="1:21" s="281" customFormat="1" ht="27.6" hidden="1" x14ac:dyDescent="0.3">
      <c r="A109" s="305">
        <f t="shared" si="1"/>
        <v>106</v>
      </c>
      <c r="B109" s="305">
        <v>1</v>
      </c>
      <c r="C109" s="306" t="s">
        <v>597</v>
      </c>
      <c r="D109" s="306" t="s">
        <v>55</v>
      </c>
      <c r="E109" s="307" t="s">
        <v>31</v>
      </c>
      <c r="F109" s="318"/>
      <c r="G109" s="318"/>
      <c r="H109" s="318"/>
      <c r="I109" s="318"/>
      <c r="J109" s="318"/>
      <c r="K109" s="318"/>
      <c r="L109" s="318"/>
      <c r="M109" s="309" t="s">
        <v>211</v>
      </c>
      <c r="N109" s="309" t="s">
        <v>580</v>
      </c>
      <c r="O109" s="309" t="s">
        <v>492</v>
      </c>
      <c r="P109" s="309" t="s">
        <v>493</v>
      </c>
      <c r="Q109" s="309" t="s">
        <v>494</v>
      </c>
      <c r="R109" s="308"/>
      <c r="S109" s="310"/>
      <c r="T109" s="308"/>
      <c r="U109" s="310"/>
    </row>
    <row r="110" spans="1:21" s="281" customFormat="1" ht="27.6" hidden="1" x14ac:dyDescent="0.3">
      <c r="A110" s="305">
        <f t="shared" si="1"/>
        <v>107</v>
      </c>
      <c r="B110" s="305">
        <v>1</v>
      </c>
      <c r="C110" s="306" t="s">
        <v>597</v>
      </c>
      <c r="D110" s="306" t="s">
        <v>55</v>
      </c>
      <c r="E110" s="307" t="s">
        <v>32</v>
      </c>
      <c r="F110" s="318"/>
      <c r="G110" s="318"/>
      <c r="H110" s="318"/>
      <c r="I110" s="318"/>
      <c r="J110" s="318"/>
      <c r="K110" s="318"/>
      <c r="L110" s="318"/>
      <c r="M110" s="309" t="s">
        <v>211</v>
      </c>
      <c r="N110" s="309" t="s">
        <v>580</v>
      </c>
      <c r="O110" s="309" t="s">
        <v>492</v>
      </c>
      <c r="P110" s="309" t="s">
        <v>493</v>
      </c>
      <c r="Q110" s="309" t="s">
        <v>494</v>
      </c>
      <c r="R110" s="308"/>
      <c r="S110" s="310"/>
      <c r="T110" s="308"/>
      <c r="U110" s="310"/>
    </row>
    <row r="111" spans="1:21" s="281" customFormat="1" ht="27.6" hidden="1" x14ac:dyDescent="0.3">
      <c r="A111" s="305">
        <f t="shared" si="1"/>
        <v>108</v>
      </c>
      <c r="B111" s="305">
        <v>2</v>
      </c>
      <c r="C111" s="306" t="s">
        <v>597</v>
      </c>
      <c r="D111" s="306" t="s">
        <v>55</v>
      </c>
      <c r="E111" s="307" t="s">
        <v>51</v>
      </c>
      <c r="F111" s="318"/>
      <c r="G111" s="318"/>
      <c r="H111" s="318"/>
      <c r="I111" s="318"/>
      <c r="J111" s="318"/>
      <c r="K111" s="318"/>
      <c r="L111" s="318"/>
      <c r="M111" s="309" t="s">
        <v>211</v>
      </c>
      <c r="N111" s="309" t="s">
        <v>580</v>
      </c>
      <c r="O111" s="309" t="s">
        <v>589</v>
      </c>
      <c r="P111" s="309" t="s">
        <v>395</v>
      </c>
      <c r="Q111" s="309" t="s">
        <v>579</v>
      </c>
      <c r="R111" s="308"/>
      <c r="S111" s="310"/>
      <c r="T111" s="308"/>
      <c r="U111" s="310"/>
    </row>
    <row r="112" spans="1:21" s="281" customFormat="1" ht="27.6" hidden="1" x14ac:dyDescent="0.3">
      <c r="A112" s="305">
        <f t="shared" si="1"/>
        <v>109</v>
      </c>
      <c r="B112" s="305">
        <v>2</v>
      </c>
      <c r="C112" s="306" t="s">
        <v>597</v>
      </c>
      <c r="D112" s="306" t="s">
        <v>55</v>
      </c>
      <c r="E112" s="307" t="s">
        <v>54</v>
      </c>
      <c r="F112" s="312"/>
      <c r="G112" s="318"/>
      <c r="H112" s="312"/>
      <c r="I112" s="312"/>
      <c r="J112" s="312"/>
      <c r="K112" s="312"/>
      <c r="L112" s="312"/>
      <c r="M112" s="309"/>
      <c r="N112" s="309"/>
      <c r="O112" s="309"/>
      <c r="P112" s="309"/>
      <c r="Q112" s="309"/>
      <c r="R112" s="308"/>
      <c r="S112" s="310"/>
      <c r="T112" s="308"/>
      <c r="U112" s="310"/>
    </row>
    <row r="113" spans="1:21" s="281" customFormat="1" ht="27.6" hidden="1" x14ac:dyDescent="0.3">
      <c r="A113" s="305">
        <f t="shared" si="1"/>
        <v>110</v>
      </c>
      <c r="B113" s="305">
        <v>2</v>
      </c>
      <c r="C113" s="306" t="s">
        <v>597</v>
      </c>
      <c r="D113" s="306" t="s">
        <v>55</v>
      </c>
      <c r="E113" s="307" t="s">
        <v>52</v>
      </c>
      <c r="F113" s="318"/>
      <c r="G113" s="318"/>
      <c r="H113" s="318"/>
      <c r="I113" s="318"/>
      <c r="J113" s="318"/>
      <c r="K113" s="318"/>
      <c r="L113" s="318"/>
      <c r="M113" s="309" t="s">
        <v>211</v>
      </c>
      <c r="N113" s="309" t="s">
        <v>580</v>
      </c>
      <c r="O113" s="309" t="s">
        <v>589</v>
      </c>
      <c r="P113" s="309" t="s">
        <v>395</v>
      </c>
      <c r="Q113" s="309" t="s">
        <v>579</v>
      </c>
      <c r="R113" s="308"/>
      <c r="S113" s="310"/>
      <c r="T113" s="308"/>
      <c r="U113" s="310"/>
    </row>
    <row r="114" spans="1:21" s="281" customFormat="1" ht="27.6" hidden="1" x14ac:dyDescent="0.3">
      <c r="A114" s="305">
        <f t="shared" si="1"/>
        <v>111</v>
      </c>
      <c r="B114" s="305">
        <v>2</v>
      </c>
      <c r="C114" s="306" t="s">
        <v>597</v>
      </c>
      <c r="D114" s="306" t="s">
        <v>55</v>
      </c>
      <c r="E114" s="307" t="s">
        <v>558</v>
      </c>
      <c r="F114" s="312"/>
      <c r="G114" s="318"/>
      <c r="H114" s="312"/>
      <c r="I114" s="312"/>
      <c r="J114" s="312"/>
      <c r="K114" s="312"/>
      <c r="L114" s="312"/>
      <c r="M114" s="309"/>
      <c r="N114" s="309"/>
      <c r="O114" s="309"/>
      <c r="P114" s="309"/>
      <c r="Q114" s="309"/>
      <c r="R114" s="308"/>
      <c r="S114" s="310"/>
      <c r="T114" s="308"/>
      <c r="U114" s="310"/>
    </row>
    <row r="115" spans="1:21" s="281" customFormat="1" ht="27.6" hidden="1" x14ac:dyDescent="0.3">
      <c r="A115" s="305">
        <f t="shared" si="1"/>
        <v>112</v>
      </c>
      <c r="B115" s="305">
        <v>2</v>
      </c>
      <c r="C115" s="306" t="s">
        <v>597</v>
      </c>
      <c r="D115" s="306" t="s">
        <v>55</v>
      </c>
      <c r="E115" s="307" t="s">
        <v>87</v>
      </c>
      <c r="F115" s="318"/>
      <c r="G115" s="318"/>
      <c r="H115" s="318"/>
      <c r="I115" s="318"/>
      <c r="J115" s="318"/>
      <c r="K115" s="318"/>
      <c r="L115" s="318"/>
      <c r="M115" s="309" t="s">
        <v>211</v>
      </c>
      <c r="N115" s="309" t="s">
        <v>770</v>
      </c>
      <c r="O115" s="309" t="s">
        <v>580</v>
      </c>
      <c r="P115" s="309" t="s">
        <v>660</v>
      </c>
      <c r="Q115" s="309" t="s">
        <v>212</v>
      </c>
      <c r="R115" s="308"/>
      <c r="S115" s="310"/>
      <c r="T115" s="308"/>
      <c r="U115" s="310"/>
    </row>
    <row r="116" spans="1:21" s="281" customFormat="1" ht="27.6" hidden="1" x14ac:dyDescent="0.3">
      <c r="A116" s="305">
        <f t="shared" si="1"/>
        <v>113</v>
      </c>
      <c r="B116" s="305">
        <v>2</v>
      </c>
      <c r="C116" s="306" t="s">
        <v>597</v>
      </c>
      <c r="D116" s="306" t="s">
        <v>55</v>
      </c>
      <c r="E116" s="307" t="s">
        <v>88</v>
      </c>
      <c r="F116" s="318"/>
      <c r="G116" s="318"/>
      <c r="H116" s="318"/>
      <c r="I116" s="318"/>
      <c r="J116" s="318"/>
      <c r="K116" s="318"/>
      <c r="L116" s="318"/>
      <c r="M116" s="309" t="s">
        <v>211</v>
      </c>
      <c r="N116" s="309" t="s">
        <v>770</v>
      </c>
      <c r="O116" s="309" t="s">
        <v>580</v>
      </c>
      <c r="P116" s="309" t="s">
        <v>660</v>
      </c>
      <c r="Q116" s="309" t="s">
        <v>212</v>
      </c>
      <c r="R116" s="308"/>
      <c r="S116" s="310"/>
      <c r="T116" s="308"/>
      <c r="U116" s="310"/>
    </row>
    <row r="117" spans="1:21" s="281" customFormat="1" ht="27.6" hidden="1" x14ac:dyDescent="0.3">
      <c r="A117" s="305">
        <f t="shared" si="1"/>
        <v>114</v>
      </c>
      <c r="B117" s="305">
        <v>2</v>
      </c>
      <c r="C117" s="306" t="s">
        <v>597</v>
      </c>
      <c r="D117" s="306" t="s">
        <v>55</v>
      </c>
      <c r="E117" s="307" t="s">
        <v>600</v>
      </c>
      <c r="F117" s="318"/>
      <c r="G117" s="318"/>
      <c r="H117" s="318"/>
      <c r="I117" s="318"/>
      <c r="J117" s="318"/>
      <c r="K117" s="318"/>
      <c r="L117" s="318"/>
      <c r="M117" s="309" t="s">
        <v>211</v>
      </c>
      <c r="N117" s="309" t="s">
        <v>770</v>
      </c>
      <c r="O117" s="309" t="s">
        <v>580</v>
      </c>
      <c r="P117" s="309" t="s">
        <v>660</v>
      </c>
      <c r="Q117" s="309" t="s">
        <v>212</v>
      </c>
      <c r="R117" s="308"/>
      <c r="S117" s="310"/>
      <c r="T117" s="308"/>
      <c r="U117" s="310"/>
    </row>
    <row r="118" spans="1:21" s="281" customFormat="1" ht="27.6" hidden="1" x14ac:dyDescent="0.3">
      <c r="A118" s="305">
        <f t="shared" si="1"/>
        <v>115</v>
      </c>
      <c r="B118" s="313">
        <v>3</v>
      </c>
      <c r="C118" s="306" t="s">
        <v>597</v>
      </c>
      <c r="D118" s="306" t="s">
        <v>55</v>
      </c>
      <c r="E118" s="307" t="s">
        <v>74</v>
      </c>
      <c r="F118" s="312"/>
      <c r="G118" s="318"/>
      <c r="H118" s="312"/>
      <c r="I118" s="312"/>
      <c r="J118" s="312"/>
      <c r="K118" s="312"/>
      <c r="L118" s="312"/>
      <c r="M118" s="309"/>
      <c r="N118" s="309"/>
      <c r="O118" s="309"/>
      <c r="P118" s="309"/>
      <c r="Q118" s="309"/>
      <c r="R118" s="308"/>
      <c r="S118" s="310"/>
      <c r="T118" s="308"/>
      <c r="U118" s="310"/>
    </row>
    <row r="119" spans="1:21" s="281" customFormat="1" ht="27.6" hidden="1" x14ac:dyDescent="0.3">
      <c r="A119" s="305">
        <f t="shared" si="1"/>
        <v>116</v>
      </c>
      <c r="B119" s="305">
        <v>1</v>
      </c>
      <c r="C119" s="306" t="s">
        <v>597</v>
      </c>
      <c r="D119" s="306" t="s">
        <v>552</v>
      </c>
      <c r="E119" s="307" t="s">
        <v>621</v>
      </c>
      <c r="F119" s="312"/>
      <c r="G119" s="318"/>
      <c r="H119" s="312"/>
      <c r="I119" s="312"/>
      <c r="J119" s="312"/>
      <c r="K119" s="312"/>
      <c r="L119" s="312"/>
      <c r="M119" s="309"/>
      <c r="N119" s="309"/>
      <c r="O119" s="309"/>
      <c r="P119" s="309"/>
      <c r="Q119" s="309"/>
      <c r="R119" s="308"/>
      <c r="S119" s="309"/>
      <c r="T119" s="308"/>
      <c r="U119" s="309"/>
    </row>
    <row r="120" spans="1:21" s="284" customFormat="1" ht="82.8" hidden="1" x14ac:dyDescent="0.3">
      <c r="A120" s="305">
        <f t="shared" si="1"/>
        <v>117</v>
      </c>
      <c r="B120" s="305">
        <v>1</v>
      </c>
      <c r="C120" s="306" t="s">
        <v>597</v>
      </c>
      <c r="D120" s="306" t="s">
        <v>552</v>
      </c>
      <c r="E120" s="306" t="s">
        <v>690</v>
      </c>
      <c r="F120" s="308"/>
      <c r="G120" s="308"/>
      <c r="H120" s="308"/>
      <c r="I120" s="308"/>
      <c r="J120" s="308"/>
      <c r="K120" s="308"/>
      <c r="L120" s="308"/>
      <c r="M120" s="309" t="s">
        <v>211</v>
      </c>
      <c r="N120" s="309" t="s">
        <v>580</v>
      </c>
      <c r="O120" s="309" t="s">
        <v>314</v>
      </c>
      <c r="P120" s="309" t="s">
        <v>315</v>
      </c>
      <c r="Q120" s="309" t="s">
        <v>662</v>
      </c>
      <c r="R120" s="308"/>
      <c r="S120" s="309"/>
      <c r="T120" s="308"/>
      <c r="U120" s="309"/>
    </row>
    <row r="121" spans="1:21" s="284" customFormat="1" ht="41.4" hidden="1" x14ac:dyDescent="0.3">
      <c r="A121" s="305">
        <f t="shared" si="1"/>
        <v>118</v>
      </c>
      <c r="B121" s="305">
        <v>1</v>
      </c>
      <c r="C121" s="306" t="s">
        <v>597</v>
      </c>
      <c r="D121" s="306" t="s">
        <v>552</v>
      </c>
      <c r="E121" s="306" t="s">
        <v>613</v>
      </c>
      <c r="F121" s="308"/>
      <c r="G121" s="308"/>
      <c r="H121" s="308"/>
      <c r="I121" s="308"/>
      <c r="J121" s="308"/>
      <c r="K121" s="308"/>
      <c r="L121" s="308"/>
      <c r="M121" s="309" t="s">
        <v>211</v>
      </c>
      <c r="N121" s="309" t="s">
        <v>770</v>
      </c>
      <c r="O121" s="309" t="s">
        <v>614</v>
      </c>
      <c r="P121" s="309" t="s">
        <v>615</v>
      </c>
      <c r="Q121" s="309" t="s">
        <v>661</v>
      </c>
      <c r="R121" s="308"/>
      <c r="S121" s="309"/>
      <c r="T121" s="308"/>
      <c r="U121" s="309"/>
    </row>
    <row r="122" spans="1:21" s="281" customFormat="1" ht="27.6" hidden="1" x14ac:dyDescent="0.3">
      <c r="A122" s="305">
        <f t="shared" si="1"/>
        <v>119</v>
      </c>
      <c r="B122" s="305">
        <v>2</v>
      </c>
      <c r="C122" s="306" t="s">
        <v>597</v>
      </c>
      <c r="D122" s="306" t="s">
        <v>552</v>
      </c>
      <c r="E122" s="307" t="s">
        <v>75</v>
      </c>
      <c r="F122" s="318"/>
      <c r="G122" s="318"/>
      <c r="H122" s="318"/>
      <c r="I122" s="318"/>
      <c r="J122" s="318"/>
      <c r="K122" s="318"/>
      <c r="L122" s="318"/>
      <c r="M122" s="309" t="s">
        <v>211</v>
      </c>
      <c r="N122" s="309" t="s">
        <v>770</v>
      </c>
      <c r="O122" s="309" t="s">
        <v>580</v>
      </c>
      <c r="P122" s="309" t="s">
        <v>467</v>
      </c>
      <c r="Q122" s="309" t="s">
        <v>663</v>
      </c>
      <c r="R122" s="308"/>
      <c r="S122" s="310"/>
      <c r="T122" s="308"/>
      <c r="U122" s="310"/>
    </row>
    <row r="123" spans="1:21" s="281" customFormat="1" ht="27.6" hidden="1" x14ac:dyDescent="0.3">
      <c r="A123" s="305">
        <f t="shared" si="1"/>
        <v>120</v>
      </c>
      <c r="B123" s="305">
        <v>2</v>
      </c>
      <c r="C123" s="306" t="s">
        <v>597</v>
      </c>
      <c r="D123" s="306" t="s">
        <v>552</v>
      </c>
      <c r="E123" s="307" t="s">
        <v>560</v>
      </c>
      <c r="F123" s="318"/>
      <c r="G123" s="318"/>
      <c r="H123" s="318"/>
      <c r="I123" s="318"/>
      <c r="J123" s="318"/>
      <c r="K123" s="318"/>
      <c r="L123" s="318"/>
      <c r="M123" s="309" t="s">
        <v>211</v>
      </c>
      <c r="N123" s="309" t="s">
        <v>770</v>
      </c>
      <c r="O123" s="309" t="s">
        <v>580</v>
      </c>
      <c r="P123" s="309" t="s">
        <v>467</v>
      </c>
      <c r="Q123" s="309" t="s">
        <v>663</v>
      </c>
      <c r="R123" s="308"/>
      <c r="S123" s="310"/>
      <c r="T123" s="308"/>
      <c r="U123" s="310"/>
    </row>
    <row r="124" spans="1:21" s="281" customFormat="1" ht="41.4" hidden="1" x14ac:dyDescent="0.3">
      <c r="A124" s="305">
        <f t="shared" si="1"/>
        <v>121</v>
      </c>
      <c r="B124" s="305">
        <v>2</v>
      </c>
      <c r="C124" s="306" t="s">
        <v>597</v>
      </c>
      <c r="D124" s="306" t="s">
        <v>552</v>
      </c>
      <c r="E124" s="307" t="s">
        <v>559</v>
      </c>
      <c r="F124" s="318"/>
      <c r="G124" s="318"/>
      <c r="H124" s="318"/>
      <c r="I124" s="318"/>
      <c r="J124" s="318"/>
      <c r="K124" s="318"/>
      <c r="L124" s="318"/>
      <c r="M124" s="309" t="s">
        <v>211</v>
      </c>
      <c r="N124" s="309" t="s">
        <v>770</v>
      </c>
      <c r="O124" s="309" t="s">
        <v>580</v>
      </c>
      <c r="P124" s="309" t="s">
        <v>793</v>
      </c>
      <c r="Q124" s="309" t="s">
        <v>794</v>
      </c>
      <c r="R124" s="308"/>
      <c r="S124" s="309"/>
      <c r="T124" s="308"/>
      <c r="U124" s="309"/>
    </row>
    <row r="125" spans="1:21" s="284" customFormat="1" ht="55.2" hidden="1" x14ac:dyDescent="0.3">
      <c r="A125" s="305">
        <f t="shared" si="1"/>
        <v>122</v>
      </c>
      <c r="B125" s="305">
        <v>1</v>
      </c>
      <c r="C125" s="306" t="s">
        <v>597</v>
      </c>
      <c r="D125" s="306" t="s">
        <v>552</v>
      </c>
      <c r="E125" s="307" t="s">
        <v>528</v>
      </c>
      <c r="F125" s="308"/>
      <c r="G125" s="308"/>
      <c r="H125" s="308"/>
      <c r="I125" s="308"/>
      <c r="J125" s="308"/>
      <c r="K125" s="308"/>
      <c r="L125" s="308"/>
      <c r="M125" s="309" t="s">
        <v>211</v>
      </c>
      <c r="N125" s="309" t="s">
        <v>530</v>
      </c>
      <c r="O125" s="314" t="s">
        <v>795</v>
      </c>
      <c r="P125" s="309" t="s">
        <v>531</v>
      </c>
      <c r="Q125" s="309" t="s">
        <v>541</v>
      </c>
      <c r="R125" s="308"/>
      <c r="S125" s="310"/>
      <c r="T125" s="308"/>
      <c r="U125" s="310"/>
    </row>
    <row r="126" spans="1:21" s="284" customFormat="1" ht="27.6" hidden="1" x14ac:dyDescent="0.3">
      <c r="A126" s="305">
        <f t="shared" si="1"/>
        <v>123</v>
      </c>
      <c r="B126" s="305">
        <v>1</v>
      </c>
      <c r="C126" s="306" t="s">
        <v>597</v>
      </c>
      <c r="D126" s="306" t="s">
        <v>552</v>
      </c>
      <c r="E126" s="307" t="s">
        <v>529</v>
      </c>
      <c r="F126" s="308"/>
      <c r="G126" s="308"/>
      <c r="H126" s="308"/>
      <c r="I126" s="308"/>
      <c r="J126" s="308"/>
      <c r="K126" s="308"/>
      <c r="L126" s="308"/>
      <c r="M126" s="309"/>
      <c r="N126" s="309"/>
      <c r="O126" s="309"/>
      <c r="P126" s="309"/>
      <c r="Q126" s="309"/>
      <c r="R126" s="308"/>
      <c r="S126" s="310"/>
      <c r="T126" s="308"/>
      <c r="U126" s="310"/>
    </row>
    <row r="127" spans="1:21" s="284" customFormat="1" ht="41.4" hidden="1" x14ac:dyDescent="0.3">
      <c r="A127" s="305">
        <f t="shared" si="1"/>
        <v>124</v>
      </c>
      <c r="B127" s="305">
        <v>1</v>
      </c>
      <c r="C127" s="306" t="s">
        <v>597</v>
      </c>
      <c r="D127" s="306" t="s">
        <v>552</v>
      </c>
      <c r="E127" s="307" t="s">
        <v>553</v>
      </c>
      <c r="F127" s="308"/>
      <c r="G127" s="308"/>
      <c r="H127" s="308"/>
      <c r="I127" s="308"/>
      <c r="J127" s="308"/>
      <c r="K127" s="308"/>
      <c r="L127" s="308"/>
      <c r="M127" s="309" t="s">
        <v>211</v>
      </c>
      <c r="N127" s="309" t="s">
        <v>768</v>
      </c>
      <c r="O127" s="309" t="s">
        <v>532</v>
      </c>
      <c r="P127" s="309" t="s">
        <v>533</v>
      </c>
      <c r="Q127" s="309" t="s">
        <v>534</v>
      </c>
      <c r="R127" s="308"/>
      <c r="S127" s="310"/>
      <c r="T127" s="308"/>
      <c r="U127" s="310"/>
    </row>
    <row r="128" spans="1:21" s="281" customFormat="1" ht="55.2" hidden="1" x14ac:dyDescent="0.3">
      <c r="A128" s="305">
        <f t="shared" si="1"/>
        <v>125</v>
      </c>
      <c r="B128" s="313">
        <v>3</v>
      </c>
      <c r="C128" s="306" t="s">
        <v>597</v>
      </c>
      <c r="D128" s="306" t="s">
        <v>28</v>
      </c>
      <c r="E128" s="307" t="s">
        <v>577</v>
      </c>
      <c r="F128" s="318"/>
      <c r="G128" s="318"/>
      <c r="H128" s="318"/>
      <c r="I128" s="318"/>
      <c r="J128" s="318"/>
      <c r="K128" s="318"/>
      <c r="L128" s="318"/>
      <c r="M128" s="309" t="s">
        <v>211</v>
      </c>
      <c r="N128" s="309" t="s">
        <v>770</v>
      </c>
      <c r="O128" s="309" t="s">
        <v>580</v>
      </c>
      <c r="P128" s="309" t="s">
        <v>665</v>
      </c>
      <c r="Q128" s="309" t="s">
        <v>664</v>
      </c>
      <c r="R128" s="308"/>
      <c r="S128" s="310"/>
      <c r="T128" s="308"/>
      <c r="U128" s="310"/>
    </row>
    <row r="129" spans="1:21" s="281" customFormat="1" ht="27.6" hidden="1" x14ac:dyDescent="0.3">
      <c r="A129" s="305">
        <f t="shared" si="1"/>
        <v>126</v>
      </c>
      <c r="B129" s="313">
        <v>3</v>
      </c>
      <c r="C129" s="306" t="s">
        <v>597</v>
      </c>
      <c r="D129" s="306" t="s">
        <v>28</v>
      </c>
      <c r="E129" s="307" t="s">
        <v>578</v>
      </c>
      <c r="F129" s="318"/>
      <c r="G129" s="318"/>
      <c r="H129" s="318"/>
      <c r="I129" s="318"/>
      <c r="J129" s="318"/>
      <c r="K129" s="318"/>
      <c r="L129" s="318"/>
      <c r="M129" s="309"/>
      <c r="N129" s="309"/>
      <c r="O129" s="309"/>
      <c r="P129" s="309"/>
      <c r="Q129" s="309"/>
      <c r="R129" s="308"/>
      <c r="S129" s="310"/>
      <c r="T129" s="308"/>
      <c r="U129" s="310"/>
    </row>
    <row r="130" spans="1:21" s="282" customFormat="1" ht="69" x14ac:dyDescent="0.3">
      <c r="A130" s="305">
        <f t="shared" si="1"/>
        <v>127</v>
      </c>
      <c r="B130" s="316">
        <v>1</v>
      </c>
      <c r="C130" s="306" t="s">
        <v>507</v>
      </c>
      <c r="D130" s="306" t="s">
        <v>23</v>
      </c>
      <c r="E130" s="306" t="s">
        <v>323</v>
      </c>
      <c r="F130" s="308"/>
      <c r="G130" s="308"/>
      <c r="H130" s="308"/>
      <c r="I130" s="308"/>
      <c r="J130" s="308"/>
      <c r="K130" s="308"/>
      <c r="L130" s="308"/>
      <c r="M130" s="309" t="s">
        <v>883</v>
      </c>
      <c r="N130" s="309" t="s">
        <v>324</v>
      </c>
      <c r="O130" s="309" t="s">
        <v>325</v>
      </c>
      <c r="P130" s="309" t="s">
        <v>326</v>
      </c>
      <c r="Q130" s="309" t="s">
        <v>327</v>
      </c>
      <c r="R130" s="308"/>
      <c r="S130" s="309"/>
      <c r="T130" s="308"/>
      <c r="U130" s="309"/>
    </row>
    <row r="131" spans="1:21" s="284" customFormat="1" ht="41.4" x14ac:dyDescent="0.3">
      <c r="A131" s="305">
        <f t="shared" si="1"/>
        <v>128</v>
      </c>
      <c r="B131" s="316">
        <v>2</v>
      </c>
      <c r="C131" s="306" t="s">
        <v>507</v>
      </c>
      <c r="D131" s="306" t="s">
        <v>23</v>
      </c>
      <c r="E131" s="306" t="s">
        <v>91</v>
      </c>
      <c r="F131" s="308"/>
      <c r="G131" s="308"/>
      <c r="H131" s="308"/>
      <c r="I131" s="308"/>
      <c r="J131" s="308"/>
      <c r="K131" s="308"/>
      <c r="L131" s="308"/>
      <c r="M131" s="309" t="s">
        <v>211</v>
      </c>
      <c r="N131" s="309" t="s">
        <v>768</v>
      </c>
      <c r="O131" s="309" t="s">
        <v>580</v>
      </c>
      <c r="P131" s="309" t="s">
        <v>666</v>
      </c>
      <c r="Q131" s="309" t="s">
        <v>321</v>
      </c>
      <c r="R131" s="308"/>
      <c r="S131" s="309"/>
      <c r="T131" s="308"/>
      <c r="U131" s="309"/>
    </row>
    <row r="132" spans="1:21" s="284" customFormat="1" ht="41.4" x14ac:dyDescent="0.3">
      <c r="A132" s="305">
        <f t="shared" si="1"/>
        <v>129</v>
      </c>
      <c r="B132" s="316">
        <v>1</v>
      </c>
      <c r="C132" s="306" t="s">
        <v>507</v>
      </c>
      <c r="D132" s="306" t="s">
        <v>23</v>
      </c>
      <c r="E132" s="306" t="s">
        <v>610</v>
      </c>
      <c r="F132" s="308"/>
      <c r="G132" s="308"/>
      <c r="H132" s="308"/>
      <c r="I132" s="308"/>
      <c r="J132" s="308"/>
      <c r="K132" s="308"/>
      <c r="L132" s="308"/>
      <c r="M132" s="309" t="s">
        <v>211</v>
      </c>
      <c r="N132" s="309" t="s">
        <v>768</v>
      </c>
      <c r="O132" s="309" t="s">
        <v>580</v>
      </c>
      <c r="P132" s="309" t="s">
        <v>666</v>
      </c>
      <c r="Q132" s="309" t="s">
        <v>321</v>
      </c>
      <c r="R132" s="308"/>
      <c r="S132" s="309"/>
      <c r="T132" s="308"/>
      <c r="U132" s="309"/>
    </row>
    <row r="133" spans="1:21" s="284" customFormat="1" ht="41.4" x14ac:dyDescent="0.3">
      <c r="A133" s="305">
        <f t="shared" si="1"/>
        <v>130</v>
      </c>
      <c r="B133" s="316">
        <v>2</v>
      </c>
      <c r="C133" s="306" t="s">
        <v>507</v>
      </c>
      <c r="D133" s="306" t="s">
        <v>23</v>
      </c>
      <c r="E133" s="306" t="s">
        <v>561</v>
      </c>
      <c r="F133" s="308"/>
      <c r="G133" s="308"/>
      <c r="H133" s="308"/>
      <c r="I133" s="308"/>
      <c r="J133" s="308"/>
      <c r="K133" s="308"/>
      <c r="L133" s="308"/>
      <c r="M133" s="309" t="s">
        <v>211</v>
      </c>
      <c r="N133" s="309" t="s">
        <v>768</v>
      </c>
      <c r="O133" s="309" t="s">
        <v>580</v>
      </c>
      <c r="P133" s="309" t="s">
        <v>666</v>
      </c>
      <c r="Q133" s="309" t="s">
        <v>321</v>
      </c>
      <c r="R133" s="308"/>
      <c r="S133" s="309"/>
      <c r="T133" s="308"/>
      <c r="U133" s="309"/>
    </row>
    <row r="134" spans="1:21" s="284" customFormat="1" ht="41.4" x14ac:dyDescent="0.3">
      <c r="A134" s="305">
        <f t="shared" ref="A134:A197" si="2">A133+1</f>
        <v>131</v>
      </c>
      <c r="B134" s="313">
        <v>3</v>
      </c>
      <c r="C134" s="306" t="s">
        <v>507</v>
      </c>
      <c r="D134" s="306" t="s">
        <v>23</v>
      </c>
      <c r="E134" s="306" t="s">
        <v>24</v>
      </c>
      <c r="F134" s="312"/>
      <c r="G134" s="312"/>
      <c r="H134" s="312"/>
      <c r="I134" s="312"/>
      <c r="J134" s="312"/>
      <c r="K134" s="312"/>
      <c r="L134" s="312"/>
      <c r="M134" s="309"/>
      <c r="N134" s="309"/>
      <c r="O134" s="309"/>
      <c r="P134" s="309"/>
      <c r="Q134" s="309"/>
      <c r="R134" s="308"/>
      <c r="S134" s="309"/>
      <c r="T134" s="308"/>
      <c r="U134" s="309"/>
    </row>
    <row r="135" spans="1:21" s="284" customFormat="1" ht="41.4" x14ac:dyDescent="0.3">
      <c r="A135" s="305">
        <f t="shared" si="2"/>
        <v>132</v>
      </c>
      <c r="B135" s="316">
        <v>1</v>
      </c>
      <c r="C135" s="306" t="s">
        <v>507</v>
      </c>
      <c r="D135" s="306" t="s">
        <v>23</v>
      </c>
      <c r="E135" s="306" t="s">
        <v>67</v>
      </c>
      <c r="F135" s="308"/>
      <c r="G135" s="308"/>
      <c r="H135" s="308"/>
      <c r="I135" s="308"/>
      <c r="J135" s="308"/>
      <c r="K135" s="308"/>
      <c r="L135" s="308"/>
      <c r="M135" s="309" t="s">
        <v>211</v>
      </c>
      <c r="N135" s="309" t="s">
        <v>768</v>
      </c>
      <c r="O135" s="309" t="s">
        <v>580</v>
      </c>
      <c r="P135" s="309" t="s">
        <v>320</v>
      </c>
      <c r="Q135" s="309" t="s">
        <v>321</v>
      </c>
      <c r="R135" s="308"/>
      <c r="S135" s="309"/>
      <c r="T135" s="308"/>
      <c r="U135" s="309"/>
    </row>
    <row r="136" spans="1:21" s="284" customFormat="1" ht="69" x14ac:dyDescent="0.3">
      <c r="A136" s="305">
        <f t="shared" si="2"/>
        <v>133</v>
      </c>
      <c r="B136" s="316">
        <v>2</v>
      </c>
      <c r="C136" s="306" t="s">
        <v>507</v>
      </c>
      <c r="D136" s="306" t="s">
        <v>23</v>
      </c>
      <c r="E136" s="306" t="s">
        <v>879</v>
      </c>
      <c r="F136" s="308"/>
      <c r="G136" s="308"/>
      <c r="H136" s="308"/>
      <c r="I136" s="308"/>
      <c r="J136" s="308"/>
      <c r="K136" s="308"/>
      <c r="L136" s="308"/>
      <c r="M136" s="309" t="s">
        <v>856</v>
      </c>
      <c r="N136" s="309" t="s">
        <v>857</v>
      </c>
      <c r="O136" s="309" t="s">
        <v>858</v>
      </c>
      <c r="P136" s="306" t="s">
        <v>877</v>
      </c>
      <c r="Q136" s="306" t="s">
        <v>878</v>
      </c>
      <c r="R136" s="308"/>
      <c r="S136" s="309"/>
      <c r="T136" s="308"/>
      <c r="U136" s="309"/>
    </row>
    <row r="137" spans="1:21" s="284" customFormat="1" ht="41.4" x14ac:dyDescent="0.3">
      <c r="A137" s="305">
        <f t="shared" si="2"/>
        <v>134</v>
      </c>
      <c r="B137" s="316">
        <v>1</v>
      </c>
      <c r="C137" s="306" t="s">
        <v>507</v>
      </c>
      <c r="D137" s="306" t="s">
        <v>26</v>
      </c>
      <c r="E137" s="306" t="s">
        <v>25</v>
      </c>
      <c r="F137" s="308"/>
      <c r="G137" s="308"/>
      <c r="H137" s="308"/>
      <c r="I137" s="308"/>
      <c r="J137" s="308"/>
      <c r="K137" s="308"/>
      <c r="L137" s="308"/>
      <c r="M137" s="309" t="s">
        <v>211</v>
      </c>
      <c r="N137" s="309" t="s">
        <v>768</v>
      </c>
      <c r="O137" s="309" t="s">
        <v>668</v>
      </c>
      <c r="P137" s="309" t="s">
        <v>667</v>
      </c>
      <c r="Q137" s="309" t="s">
        <v>395</v>
      </c>
      <c r="R137" s="308"/>
      <c r="S137" s="309"/>
      <c r="T137" s="308"/>
      <c r="U137" s="309"/>
    </row>
    <row r="138" spans="1:21" s="284" customFormat="1" ht="41.4" x14ac:dyDescent="0.3">
      <c r="A138" s="305">
        <f t="shared" si="2"/>
        <v>135</v>
      </c>
      <c r="B138" s="316">
        <v>1</v>
      </c>
      <c r="C138" s="306" t="s">
        <v>507</v>
      </c>
      <c r="D138" s="306" t="s">
        <v>26</v>
      </c>
      <c r="E138" s="306" t="s">
        <v>137</v>
      </c>
      <c r="F138" s="308"/>
      <c r="G138" s="308"/>
      <c r="H138" s="308"/>
      <c r="I138" s="308"/>
      <c r="J138" s="308"/>
      <c r="K138" s="308"/>
      <c r="L138" s="308"/>
      <c r="M138" s="309" t="s">
        <v>211</v>
      </c>
      <c r="N138" s="309" t="s">
        <v>768</v>
      </c>
      <c r="O138" s="309" t="s">
        <v>580</v>
      </c>
      <c r="P138" s="309" t="s">
        <v>666</v>
      </c>
      <c r="Q138" s="309" t="s">
        <v>321</v>
      </c>
      <c r="R138" s="308"/>
      <c r="S138" s="309"/>
      <c r="T138" s="308"/>
      <c r="U138" s="309"/>
    </row>
    <row r="139" spans="1:21" s="284" customFormat="1" ht="41.4" x14ac:dyDescent="0.3">
      <c r="A139" s="305">
        <f t="shared" si="2"/>
        <v>136</v>
      </c>
      <c r="B139" s="316">
        <v>1</v>
      </c>
      <c r="C139" s="306" t="s">
        <v>507</v>
      </c>
      <c r="D139" s="306" t="s">
        <v>26</v>
      </c>
      <c r="E139" s="306" t="s">
        <v>138</v>
      </c>
      <c r="F139" s="308"/>
      <c r="G139" s="308"/>
      <c r="H139" s="308"/>
      <c r="I139" s="308"/>
      <c r="J139" s="308"/>
      <c r="K139" s="308"/>
      <c r="L139" s="308"/>
      <c r="M139" s="309" t="s">
        <v>211</v>
      </c>
      <c r="N139" s="309" t="s">
        <v>768</v>
      </c>
      <c r="O139" s="309" t="s">
        <v>580</v>
      </c>
      <c r="P139" s="309" t="s">
        <v>666</v>
      </c>
      <c r="Q139" s="309" t="s">
        <v>321</v>
      </c>
      <c r="R139" s="308"/>
      <c r="S139" s="309"/>
      <c r="T139" s="308"/>
      <c r="U139" s="309"/>
    </row>
    <row r="140" spans="1:21" s="284" customFormat="1" ht="41.4" x14ac:dyDescent="0.3">
      <c r="A140" s="305">
        <f t="shared" si="2"/>
        <v>137</v>
      </c>
      <c r="B140" s="316">
        <v>1</v>
      </c>
      <c r="C140" s="306" t="s">
        <v>507</v>
      </c>
      <c r="D140" s="306" t="s">
        <v>26</v>
      </c>
      <c r="E140" s="306" t="s">
        <v>136</v>
      </c>
      <c r="F140" s="312"/>
      <c r="G140" s="312"/>
      <c r="H140" s="312"/>
      <c r="I140" s="312"/>
      <c r="J140" s="312"/>
      <c r="K140" s="312"/>
      <c r="L140" s="312"/>
      <c r="M140" s="309"/>
      <c r="N140" s="309"/>
      <c r="O140" s="309"/>
      <c r="P140" s="309"/>
      <c r="Q140" s="309"/>
      <c r="R140" s="308"/>
      <c r="S140" s="309"/>
      <c r="T140" s="308"/>
      <c r="U140" s="309"/>
    </row>
    <row r="141" spans="1:21" s="284" customFormat="1" ht="41.4" x14ac:dyDescent="0.3">
      <c r="A141" s="305">
        <f t="shared" si="2"/>
        <v>138</v>
      </c>
      <c r="B141" s="316">
        <v>2</v>
      </c>
      <c r="C141" s="306" t="s">
        <v>507</v>
      </c>
      <c r="D141" s="306" t="s">
        <v>26</v>
      </c>
      <c r="E141" s="306" t="s">
        <v>139</v>
      </c>
      <c r="F141" s="308"/>
      <c r="G141" s="308"/>
      <c r="H141" s="308"/>
      <c r="I141" s="308"/>
      <c r="J141" s="308"/>
      <c r="K141" s="308"/>
      <c r="L141" s="308"/>
      <c r="M141" s="309" t="s">
        <v>211</v>
      </c>
      <c r="N141" s="309" t="s">
        <v>768</v>
      </c>
      <c r="O141" s="309" t="s">
        <v>580</v>
      </c>
      <c r="P141" s="309" t="s">
        <v>666</v>
      </c>
      <c r="Q141" s="309" t="s">
        <v>321</v>
      </c>
      <c r="R141" s="308"/>
      <c r="S141" s="309"/>
      <c r="T141" s="308"/>
      <c r="U141" s="309"/>
    </row>
    <row r="142" spans="1:21" s="284" customFormat="1" ht="41.4" x14ac:dyDescent="0.3">
      <c r="A142" s="305">
        <f t="shared" si="2"/>
        <v>139</v>
      </c>
      <c r="B142" s="316">
        <v>2</v>
      </c>
      <c r="C142" s="306" t="s">
        <v>507</v>
      </c>
      <c r="D142" s="306" t="s">
        <v>26</v>
      </c>
      <c r="E142" s="306" t="s">
        <v>22</v>
      </c>
      <c r="F142" s="312"/>
      <c r="G142" s="312"/>
      <c r="H142" s="312"/>
      <c r="I142" s="312"/>
      <c r="J142" s="312"/>
      <c r="K142" s="312"/>
      <c r="L142" s="312"/>
      <c r="M142" s="309"/>
      <c r="N142" s="309"/>
      <c r="O142" s="309"/>
      <c r="P142" s="309"/>
      <c r="Q142" s="309"/>
      <c r="R142" s="308"/>
      <c r="S142" s="309"/>
      <c r="T142" s="308"/>
      <c r="U142" s="309"/>
    </row>
    <row r="143" spans="1:21" s="284" customFormat="1" ht="41.4" x14ac:dyDescent="0.3">
      <c r="A143" s="305">
        <f t="shared" si="2"/>
        <v>140</v>
      </c>
      <c r="B143" s="316">
        <v>1</v>
      </c>
      <c r="C143" s="306" t="s">
        <v>507</v>
      </c>
      <c r="D143" s="306" t="s">
        <v>26</v>
      </c>
      <c r="E143" s="306" t="s">
        <v>144</v>
      </c>
      <c r="F143" s="308"/>
      <c r="G143" s="308"/>
      <c r="H143" s="308"/>
      <c r="I143" s="308"/>
      <c r="J143" s="308"/>
      <c r="K143" s="308"/>
      <c r="L143" s="308"/>
      <c r="M143" s="309" t="s">
        <v>211</v>
      </c>
      <c r="N143" s="309" t="s">
        <v>768</v>
      </c>
      <c r="O143" s="309" t="s">
        <v>580</v>
      </c>
      <c r="P143" s="309" t="s">
        <v>467</v>
      </c>
      <c r="Q143" s="309" t="s">
        <v>212</v>
      </c>
      <c r="R143" s="308"/>
      <c r="S143" s="309"/>
      <c r="T143" s="308"/>
      <c r="U143" s="309"/>
    </row>
    <row r="144" spans="1:21" s="284" customFormat="1" ht="41.4" x14ac:dyDescent="0.3">
      <c r="A144" s="305">
        <f t="shared" si="2"/>
        <v>141</v>
      </c>
      <c r="B144" s="316">
        <v>1</v>
      </c>
      <c r="C144" s="306" t="s">
        <v>507</v>
      </c>
      <c r="D144" s="306" t="s">
        <v>26</v>
      </c>
      <c r="E144" s="306" t="s">
        <v>190</v>
      </c>
      <c r="F144" s="308"/>
      <c r="G144" s="308"/>
      <c r="H144" s="308"/>
      <c r="I144" s="308"/>
      <c r="J144" s="308"/>
      <c r="K144" s="308"/>
      <c r="L144" s="308"/>
      <c r="M144" s="309" t="s">
        <v>211</v>
      </c>
      <c r="N144" s="309" t="s">
        <v>770</v>
      </c>
      <c r="O144" s="309" t="s">
        <v>580</v>
      </c>
      <c r="P144" s="309" t="s">
        <v>796</v>
      </c>
      <c r="Q144" s="309" t="s">
        <v>212</v>
      </c>
      <c r="R144" s="308"/>
      <c r="S144" s="309"/>
      <c r="T144" s="308"/>
      <c r="U144" s="309"/>
    </row>
    <row r="145" spans="1:21" s="284" customFormat="1" ht="41.4" x14ac:dyDescent="0.3">
      <c r="A145" s="305">
        <f t="shared" si="2"/>
        <v>142</v>
      </c>
      <c r="B145" s="316">
        <v>1</v>
      </c>
      <c r="C145" s="306" t="s">
        <v>507</v>
      </c>
      <c r="D145" s="306" t="s">
        <v>26</v>
      </c>
      <c r="E145" s="306" t="s">
        <v>470</v>
      </c>
      <c r="F145" s="312"/>
      <c r="G145" s="312"/>
      <c r="H145" s="312"/>
      <c r="I145" s="312"/>
      <c r="J145" s="312"/>
      <c r="K145" s="312"/>
      <c r="L145" s="312"/>
      <c r="M145" s="309"/>
      <c r="N145" s="309"/>
      <c r="O145" s="309"/>
      <c r="P145" s="309"/>
      <c r="Q145" s="309"/>
      <c r="R145" s="308"/>
      <c r="S145" s="309"/>
      <c r="T145" s="308"/>
      <c r="U145" s="309"/>
    </row>
    <row r="146" spans="1:21" s="284" customFormat="1" ht="41.4" x14ac:dyDescent="0.3">
      <c r="A146" s="305">
        <f t="shared" si="2"/>
        <v>143</v>
      </c>
      <c r="B146" s="316">
        <v>2</v>
      </c>
      <c r="C146" s="306" t="s">
        <v>507</v>
      </c>
      <c r="D146" s="306" t="s">
        <v>26</v>
      </c>
      <c r="E146" s="306" t="s">
        <v>191</v>
      </c>
      <c r="F146" s="308"/>
      <c r="G146" s="308"/>
      <c r="H146" s="308"/>
      <c r="I146" s="308"/>
      <c r="J146" s="308"/>
      <c r="K146" s="308"/>
      <c r="L146" s="308"/>
      <c r="M146" s="309" t="s">
        <v>211</v>
      </c>
      <c r="N146" s="309" t="s">
        <v>770</v>
      </c>
      <c r="O146" s="309" t="s">
        <v>580</v>
      </c>
      <c r="P146" s="309" t="s">
        <v>666</v>
      </c>
      <c r="Q146" s="309" t="s">
        <v>321</v>
      </c>
      <c r="R146" s="308"/>
      <c r="S146" s="309"/>
      <c r="T146" s="308"/>
      <c r="U146" s="309"/>
    </row>
    <row r="147" spans="1:21" s="284" customFormat="1" ht="41.4" x14ac:dyDescent="0.3">
      <c r="A147" s="305">
        <f t="shared" si="2"/>
        <v>144</v>
      </c>
      <c r="B147" s="316">
        <v>2</v>
      </c>
      <c r="C147" s="306" t="s">
        <v>507</v>
      </c>
      <c r="D147" s="306" t="s">
        <v>26</v>
      </c>
      <c r="E147" s="306" t="s">
        <v>40</v>
      </c>
      <c r="F147" s="312"/>
      <c r="G147" s="312"/>
      <c r="H147" s="312"/>
      <c r="I147" s="312"/>
      <c r="J147" s="312"/>
      <c r="K147" s="312"/>
      <c r="L147" s="312"/>
      <c r="M147" s="309"/>
      <c r="N147" s="309"/>
      <c r="O147" s="309"/>
      <c r="P147" s="309"/>
      <c r="Q147" s="309"/>
      <c r="R147" s="308"/>
      <c r="S147" s="309"/>
      <c r="T147" s="308"/>
      <c r="U147" s="309"/>
    </row>
    <row r="148" spans="1:21" s="284" customFormat="1" ht="41.4" x14ac:dyDescent="0.3">
      <c r="A148" s="305">
        <f t="shared" si="2"/>
        <v>145</v>
      </c>
      <c r="B148" s="313">
        <v>3</v>
      </c>
      <c r="C148" s="306" t="s">
        <v>507</v>
      </c>
      <c r="D148" s="306" t="s">
        <v>26</v>
      </c>
      <c r="E148" s="306" t="s">
        <v>562</v>
      </c>
      <c r="F148" s="308"/>
      <c r="G148" s="308"/>
      <c r="H148" s="308"/>
      <c r="I148" s="308"/>
      <c r="J148" s="308"/>
      <c r="K148" s="308"/>
      <c r="L148" s="308"/>
      <c r="M148" s="309" t="s">
        <v>211</v>
      </c>
      <c r="N148" s="309" t="s">
        <v>770</v>
      </c>
      <c r="O148" s="309" t="s">
        <v>580</v>
      </c>
      <c r="P148" s="284" t="s">
        <v>843</v>
      </c>
      <c r="Q148" s="309" t="s">
        <v>859</v>
      </c>
      <c r="R148" s="308"/>
      <c r="S148" s="309"/>
      <c r="T148" s="308"/>
      <c r="U148" s="309"/>
    </row>
    <row r="149" spans="1:21" s="284" customFormat="1" ht="41.4" x14ac:dyDescent="0.3">
      <c r="A149" s="305">
        <f t="shared" si="2"/>
        <v>146</v>
      </c>
      <c r="B149" s="313">
        <v>3</v>
      </c>
      <c r="C149" s="306" t="s">
        <v>507</v>
      </c>
      <c r="D149" s="306" t="s">
        <v>26</v>
      </c>
      <c r="E149" s="306" t="s">
        <v>563</v>
      </c>
      <c r="F149" s="308"/>
      <c r="G149" s="308"/>
      <c r="H149" s="308"/>
      <c r="I149" s="308"/>
      <c r="J149" s="308"/>
      <c r="K149" s="308"/>
      <c r="L149" s="308"/>
      <c r="M149" s="309" t="s">
        <v>211</v>
      </c>
      <c r="N149" s="309" t="s">
        <v>770</v>
      </c>
      <c r="O149" s="309" t="s">
        <v>580</v>
      </c>
      <c r="P149" s="309" t="s">
        <v>388</v>
      </c>
      <c r="Q149" s="309" t="s">
        <v>395</v>
      </c>
      <c r="R149" s="308"/>
      <c r="S149" s="309"/>
      <c r="T149" s="308"/>
      <c r="U149" s="309"/>
    </row>
    <row r="150" spans="1:21" s="284" customFormat="1" ht="41.4" x14ac:dyDescent="0.3">
      <c r="A150" s="305">
        <f t="shared" si="2"/>
        <v>147</v>
      </c>
      <c r="B150" s="316">
        <v>2</v>
      </c>
      <c r="C150" s="306" t="s">
        <v>507</v>
      </c>
      <c r="D150" s="306" t="s">
        <v>26</v>
      </c>
      <c r="E150" s="306" t="s">
        <v>197</v>
      </c>
      <c r="F150" s="308"/>
      <c r="G150" s="308"/>
      <c r="H150" s="308"/>
      <c r="I150" s="308"/>
      <c r="J150" s="308"/>
      <c r="K150" s="308"/>
      <c r="L150" s="308"/>
      <c r="M150" s="309" t="s">
        <v>211</v>
      </c>
      <c r="N150" s="309" t="s">
        <v>797</v>
      </c>
      <c r="O150" s="309" t="s">
        <v>336</v>
      </c>
      <c r="P150" s="309" t="s">
        <v>337</v>
      </c>
      <c r="Q150" s="309" t="s">
        <v>338</v>
      </c>
      <c r="R150" s="308"/>
      <c r="S150" s="310"/>
      <c r="T150" s="308"/>
      <c r="U150" s="310"/>
    </row>
    <row r="151" spans="1:21" s="284" customFormat="1" ht="41.4" x14ac:dyDescent="0.3">
      <c r="A151" s="305">
        <f t="shared" si="2"/>
        <v>148</v>
      </c>
      <c r="B151" s="316">
        <v>2</v>
      </c>
      <c r="C151" s="306" t="s">
        <v>507</v>
      </c>
      <c r="D151" s="306" t="s">
        <v>26</v>
      </c>
      <c r="E151" s="306" t="s">
        <v>317</v>
      </c>
      <c r="F151" s="312"/>
      <c r="G151" s="312"/>
      <c r="H151" s="312"/>
      <c r="I151" s="312"/>
      <c r="J151" s="312"/>
      <c r="K151" s="312"/>
      <c r="L151" s="312"/>
      <c r="M151" s="309"/>
      <c r="N151" s="309"/>
      <c r="O151" s="309"/>
      <c r="P151" s="309"/>
      <c r="Q151" s="309"/>
      <c r="R151" s="308"/>
      <c r="S151" s="310"/>
      <c r="T151" s="308"/>
      <c r="U151" s="310"/>
    </row>
    <row r="152" spans="1:21" s="282" customFormat="1" ht="27.6" hidden="1" x14ac:dyDescent="0.3">
      <c r="A152" s="305">
        <f t="shared" si="2"/>
        <v>149</v>
      </c>
      <c r="B152" s="316">
        <v>1</v>
      </c>
      <c r="C152" s="306" t="s">
        <v>508</v>
      </c>
      <c r="D152" s="306" t="s">
        <v>257</v>
      </c>
      <c r="E152" s="307" t="s">
        <v>616</v>
      </c>
      <c r="F152" s="308"/>
      <c r="G152" s="308"/>
      <c r="H152" s="308"/>
      <c r="I152" s="308"/>
      <c r="J152" s="308"/>
      <c r="K152" s="308"/>
      <c r="L152" s="308"/>
      <c r="M152" s="309" t="s">
        <v>211</v>
      </c>
      <c r="N152" s="309" t="s">
        <v>353</v>
      </c>
      <c r="O152" s="309" t="s">
        <v>352</v>
      </c>
      <c r="P152" s="309" t="s">
        <v>798</v>
      </c>
      <c r="Q152" s="309" t="s">
        <v>799</v>
      </c>
      <c r="R152" s="308"/>
      <c r="S152" s="310"/>
      <c r="T152" s="308"/>
      <c r="U152" s="310"/>
    </row>
    <row r="153" spans="1:21" s="282" customFormat="1" hidden="1" x14ac:dyDescent="0.3">
      <c r="A153" s="305">
        <f t="shared" si="2"/>
        <v>150</v>
      </c>
      <c r="B153" s="316">
        <v>1</v>
      </c>
      <c r="C153" s="306" t="s">
        <v>508</v>
      </c>
      <c r="D153" s="306" t="s">
        <v>257</v>
      </c>
      <c r="E153" s="307" t="s">
        <v>496</v>
      </c>
      <c r="F153" s="312"/>
      <c r="G153" s="312"/>
      <c r="H153" s="312"/>
      <c r="I153" s="312"/>
      <c r="J153" s="312"/>
      <c r="K153" s="312"/>
      <c r="L153" s="308"/>
      <c r="M153" s="309"/>
      <c r="N153" s="309"/>
      <c r="O153" s="309"/>
      <c r="P153" s="309"/>
      <c r="Q153" s="309"/>
      <c r="R153" s="308"/>
      <c r="S153" s="310"/>
      <c r="T153" s="308"/>
      <c r="U153" s="310"/>
    </row>
    <row r="154" spans="1:21" s="282" customFormat="1" ht="69" hidden="1" x14ac:dyDescent="0.3">
      <c r="A154" s="305">
        <f t="shared" si="2"/>
        <v>151</v>
      </c>
      <c r="B154" s="316">
        <v>1</v>
      </c>
      <c r="C154" s="306" t="s">
        <v>508</v>
      </c>
      <c r="D154" s="306" t="s">
        <v>257</v>
      </c>
      <c r="E154" s="307" t="s">
        <v>617</v>
      </c>
      <c r="F154" s="308"/>
      <c r="G154" s="308"/>
      <c r="H154" s="308"/>
      <c r="I154" s="308"/>
      <c r="J154" s="308"/>
      <c r="K154" s="308"/>
      <c r="L154" s="308"/>
      <c r="M154" s="309" t="s">
        <v>403</v>
      </c>
      <c r="N154" s="309" t="s">
        <v>800</v>
      </c>
      <c r="O154" s="309" t="s">
        <v>404</v>
      </c>
      <c r="P154" s="309" t="s">
        <v>564</v>
      </c>
      <c r="Q154" s="309" t="s">
        <v>406</v>
      </c>
      <c r="R154" s="308"/>
      <c r="S154" s="310"/>
      <c r="T154" s="308"/>
      <c r="U154" s="310"/>
    </row>
    <row r="155" spans="1:21" s="282" customFormat="1" ht="69" hidden="1" x14ac:dyDescent="0.3">
      <c r="A155" s="305">
        <f t="shared" si="2"/>
        <v>152</v>
      </c>
      <c r="B155" s="316">
        <v>1</v>
      </c>
      <c r="C155" s="306" t="s">
        <v>508</v>
      </c>
      <c r="D155" s="306" t="s">
        <v>354</v>
      </c>
      <c r="E155" s="307" t="s">
        <v>411</v>
      </c>
      <c r="F155" s="308"/>
      <c r="G155" s="308"/>
      <c r="H155" s="308"/>
      <c r="I155" s="308"/>
      <c r="J155" s="308"/>
      <c r="K155" s="308"/>
      <c r="L155" s="308"/>
      <c r="M155" s="309" t="s">
        <v>355</v>
      </c>
      <c r="N155" s="309" t="s">
        <v>356</v>
      </c>
      <c r="O155" s="309" t="s">
        <v>801</v>
      </c>
      <c r="P155" s="309" t="s">
        <v>357</v>
      </c>
      <c r="Q155" s="309" t="s">
        <v>358</v>
      </c>
      <c r="R155" s="308"/>
      <c r="S155" s="310"/>
      <c r="T155" s="308"/>
      <c r="U155" s="310"/>
    </row>
    <row r="156" spans="1:21" s="282" customFormat="1" ht="69" hidden="1" x14ac:dyDescent="0.3">
      <c r="A156" s="305">
        <f t="shared" si="2"/>
        <v>153</v>
      </c>
      <c r="B156" s="316">
        <v>2</v>
      </c>
      <c r="C156" s="306" t="s">
        <v>508</v>
      </c>
      <c r="D156" s="306" t="s">
        <v>354</v>
      </c>
      <c r="E156" s="307" t="s">
        <v>753</v>
      </c>
      <c r="F156" s="308"/>
      <c r="G156" s="308"/>
      <c r="H156" s="308"/>
      <c r="I156" s="308"/>
      <c r="J156" s="308"/>
      <c r="K156" s="308"/>
      <c r="L156" s="308"/>
      <c r="M156" s="309" t="s">
        <v>211</v>
      </c>
      <c r="N156" s="309" t="s">
        <v>757</v>
      </c>
      <c r="O156" s="309" t="s">
        <v>413</v>
      </c>
      <c r="P156" s="309" t="s">
        <v>414</v>
      </c>
      <c r="Q156" s="309" t="s">
        <v>415</v>
      </c>
      <c r="R156" s="308"/>
      <c r="S156" s="310"/>
      <c r="T156" s="308"/>
      <c r="U156" s="310"/>
    </row>
    <row r="157" spans="1:21" s="282" customFormat="1" ht="82.8" hidden="1" x14ac:dyDescent="0.3">
      <c r="A157" s="305">
        <f t="shared" si="2"/>
        <v>154</v>
      </c>
      <c r="B157" s="316">
        <v>2</v>
      </c>
      <c r="C157" s="306" t="s">
        <v>508</v>
      </c>
      <c r="D157" s="306" t="s">
        <v>354</v>
      </c>
      <c r="E157" s="307" t="s">
        <v>407</v>
      </c>
      <c r="F157" s="308"/>
      <c r="G157" s="308"/>
      <c r="H157" s="308"/>
      <c r="I157" s="308"/>
      <c r="J157" s="308"/>
      <c r="K157" s="308"/>
      <c r="L157" s="308"/>
      <c r="M157" s="309" t="s">
        <v>211</v>
      </c>
      <c r="N157" s="309" t="s">
        <v>757</v>
      </c>
      <c r="O157" s="309" t="s">
        <v>408</v>
      </c>
      <c r="P157" s="309" t="s">
        <v>409</v>
      </c>
      <c r="Q157" s="309" t="s">
        <v>410</v>
      </c>
      <c r="R157" s="308"/>
      <c r="S157" s="310"/>
      <c r="T157" s="308"/>
      <c r="U157" s="310"/>
    </row>
    <row r="158" spans="1:21" s="282" customFormat="1" ht="69" hidden="1" x14ac:dyDescent="0.3">
      <c r="A158" s="305">
        <f t="shared" si="2"/>
        <v>155</v>
      </c>
      <c r="B158" s="316">
        <v>2</v>
      </c>
      <c r="C158" s="306" t="s">
        <v>508</v>
      </c>
      <c r="D158" s="306" t="s">
        <v>354</v>
      </c>
      <c r="E158" s="307" t="s">
        <v>248</v>
      </c>
      <c r="F158" s="308"/>
      <c r="G158" s="308"/>
      <c r="H158" s="308"/>
      <c r="I158" s="308"/>
      <c r="J158" s="308"/>
      <c r="K158" s="308"/>
      <c r="L158" s="308"/>
      <c r="M158" s="309" t="s">
        <v>211</v>
      </c>
      <c r="N158" s="309" t="s">
        <v>757</v>
      </c>
      <c r="O158" s="309" t="s">
        <v>250</v>
      </c>
      <c r="P158" s="309" t="s">
        <v>258</v>
      </c>
      <c r="Q158" s="309" t="s">
        <v>251</v>
      </c>
      <c r="R158" s="308"/>
      <c r="S158" s="310"/>
      <c r="T158" s="308"/>
      <c r="U158" s="310"/>
    </row>
    <row r="159" spans="1:21" s="282" customFormat="1" ht="82.8" hidden="1" x14ac:dyDescent="0.3">
      <c r="A159" s="305">
        <f t="shared" si="2"/>
        <v>156</v>
      </c>
      <c r="B159" s="313">
        <v>3</v>
      </c>
      <c r="C159" s="306" t="s">
        <v>508</v>
      </c>
      <c r="D159" s="306" t="s">
        <v>354</v>
      </c>
      <c r="E159" s="307" t="s">
        <v>618</v>
      </c>
      <c r="F159" s="308"/>
      <c r="G159" s="308"/>
      <c r="H159" s="308"/>
      <c r="I159" s="308"/>
      <c r="J159" s="308"/>
      <c r="K159" s="308"/>
      <c r="L159" s="308"/>
      <c r="M159" s="309" t="s">
        <v>446</v>
      </c>
      <c r="N159" s="309" t="s">
        <v>447</v>
      </c>
      <c r="O159" s="311" t="s">
        <v>802</v>
      </c>
      <c r="P159" s="309" t="s">
        <v>803</v>
      </c>
      <c r="Q159" s="309" t="s">
        <v>449</v>
      </c>
      <c r="R159" s="308"/>
      <c r="S159" s="310"/>
      <c r="T159" s="308"/>
      <c r="U159" s="310"/>
    </row>
    <row r="160" spans="1:21" s="282" customFormat="1" ht="69" hidden="1" x14ac:dyDescent="0.3">
      <c r="A160" s="305">
        <f t="shared" si="2"/>
        <v>157</v>
      </c>
      <c r="B160" s="316">
        <v>1</v>
      </c>
      <c r="C160" s="306" t="s">
        <v>508</v>
      </c>
      <c r="D160" s="306" t="s">
        <v>13</v>
      </c>
      <c r="E160" s="307" t="s">
        <v>543</v>
      </c>
      <c r="F160" s="308"/>
      <c r="G160" s="308"/>
      <c r="H160" s="308"/>
      <c r="I160" s="308"/>
      <c r="J160" s="308"/>
      <c r="K160" s="308"/>
      <c r="L160" s="308"/>
      <c r="M160" s="309" t="s">
        <v>211</v>
      </c>
      <c r="N160" s="309" t="s">
        <v>805</v>
      </c>
      <c r="O160" s="309" t="s">
        <v>804</v>
      </c>
      <c r="P160" s="309" t="s">
        <v>443</v>
      </c>
      <c r="Q160" s="309" t="s">
        <v>542</v>
      </c>
      <c r="R160" s="308"/>
      <c r="S160" s="310"/>
      <c r="T160" s="308"/>
      <c r="U160" s="310"/>
    </row>
    <row r="161" spans="1:21" s="282" customFormat="1" ht="82.8" hidden="1" x14ac:dyDescent="0.3">
      <c r="A161" s="305">
        <f t="shared" si="2"/>
        <v>158</v>
      </c>
      <c r="B161" s="316">
        <v>2</v>
      </c>
      <c r="C161" s="306" t="s">
        <v>508</v>
      </c>
      <c r="D161" s="306" t="s">
        <v>13</v>
      </c>
      <c r="E161" s="307" t="s">
        <v>432</v>
      </c>
      <c r="F161" s="308"/>
      <c r="G161" s="308"/>
      <c r="H161" s="308"/>
      <c r="I161" s="308"/>
      <c r="J161" s="308"/>
      <c r="K161" s="308"/>
      <c r="L161" s="308"/>
      <c r="M161" s="309" t="s">
        <v>211</v>
      </c>
      <c r="N161" s="309" t="s">
        <v>806</v>
      </c>
      <c r="O161" s="309" t="s">
        <v>807</v>
      </c>
      <c r="P161" s="309" t="s">
        <v>434</v>
      </c>
      <c r="Q161" s="309" t="s">
        <v>435</v>
      </c>
      <c r="R161" s="308"/>
      <c r="S161" s="310"/>
      <c r="T161" s="308"/>
      <c r="U161" s="310"/>
    </row>
    <row r="162" spans="1:21" s="282" customFormat="1" ht="27.6" hidden="1" x14ac:dyDescent="0.3">
      <c r="A162" s="305">
        <f t="shared" si="2"/>
        <v>159</v>
      </c>
      <c r="B162" s="316">
        <v>2</v>
      </c>
      <c r="C162" s="306" t="s">
        <v>508</v>
      </c>
      <c r="D162" s="306" t="s">
        <v>13</v>
      </c>
      <c r="E162" s="307" t="s">
        <v>359</v>
      </c>
      <c r="F162" s="312"/>
      <c r="G162" s="312"/>
      <c r="H162" s="312"/>
      <c r="I162" s="312"/>
      <c r="J162" s="312"/>
      <c r="K162" s="312"/>
      <c r="L162" s="312"/>
      <c r="M162" s="309"/>
      <c r="N162" s="309"/>
      <c r="O162" s="309"/>
      <c r="P162" s="309"/>
      <c r="Q162" s="309"/>
      <c r="R162" s="308"/>
      <c r="S162" s="310"/>
      <c r="T162" s="308"/>
      <c r="U162" s="310"/>
    </row>
    <row r="163" spans="1:21" s="282" customFormat="1" ht="55.2" hidden="1" x14ac:dyDescent="0.3">
      <c r="A163" s="305">
        <f t="shared" si="2"/>
        <v>160</v>
      </c>
      <c r="B163" s="316">
        <v>2</v>
      </c>
      <c r="C163" s="306" t="s">
        <v>508</v>
      </c>
      <c r="D163" s="306" t="s">
        <v>13</v>
      </c>
      <c r="E163" s="307" t="s">
        <v>101</v>
      </c>
      <c r="F163" s="308"/>
      <c r="G163" s="308"/>
      <c r="H163" s="308"/>
      <c r="I163" s="308"/>
      <c r="J163" s="308"/>
      <c r="K163" s="308"/>
      <c r="L163" s="308"/>
      <c r="M163" s="309" t="s">
        <v>211</v>
      </c>
      <c r="N163" s="309" t="s">
        <v>591</v>
      </c>
      <c r="O163" s="309" t="s">
        <v>592</v>
      </c>
      <c r="P163" s="309" t="s">
        <v>590</v>
      </c>
      <c r="Q163" s="319" t="s">
        <v>837</v>
      </c>
      <c r="R163" s="308"/>
      <c r="S163" s="310"/>
      <c r="T163" s="308"/>
      <c r="U163" s="310"/>
    </row>
    <row r="164" spans="1:21" s="282" customFormat="1" ht="55.2" hidden="1" x14ac:dyDescent="0.3">
      <c r="A164" s="305">
        <f t="shared" si="2"/>
        <v>161</v>
      </c>
      <c r="B164" s="316">
        <v>1</v>
      </c>
      <c r="C164" s="306" t="s">
        <v>508</v>
      </c>
      <c r="D164" s="306" t="s">
        <v>13</v>
      </c>
      <c r="E164" s="307" t="s">
        <v>102</v>
      </c>
      <c r="F164" s="308"/>
      <c r="G164" s="308"/>
      <c r="H164" s="308"/>
      <c r="I164" s="308"/>
      <c r="J164" s="308"/>
      <c r="K164" s="308"/>
      <c r="L164" s="308"/>
      <c r="M164" s="309" t="s">
        <v>211</v>
      </c>
      <c r="N164" s="309" t="s">
        <v>770</v>
      </c>
      <c r="O164" s="309" t="s">
        <v>757</v>
      </c>
      <c r="P164" s="309" t="s">
        <v>364</v>
      </c>
      <c r="Q164" s="309" t="s">
        <v>365</v>
      </c>
      <c r="R164" s="308"/>
      <c r="S164" s="310"/>
      <c r="T164" s="308"/>
      <c r="U164" s="310"/>
    </row>
    <row r="165" spans="1:21" s="282" customFormat="1" ht="55.2" hidden="1" x14ac:dyDescent="0.3">
      <c r="A165" s="305">
        <f t="shared" si="2"/>
        <v>162</v>
      </c>
      <c r="B165" s="316">
        <v>1</v>
      </c>
      <c r="C165" s="306" t="s">
        <v>508</v>
      </c>
      <c r="D165" s="306" t="s">
        <v>13</v>
      </c>
      <c r="E165" s="307" t="s">
        <v>95</v>
      </c>
      <c r="F165" s="308"/>
      <c r="G165" s="308"/>
      <c r="H165" s="308"/>
      <c r="I165" s="308"/>
      <c r="J165" s="308"/>
      <c r="K165" s="308"/>
      <c r="L165" s="308"/>
      <c r="M165" s="309" t="s">
        <v>369</v>
      </c>
      <c r="N165" s="309" t="s">
        <v>808</v>
      </c>
      <c r="O165" s="309" t="s">
        <v>370</v>
      </c>
      <c r="P165" s="309" t="s">
        <v>371</v>
      </c>
      <c r="Q165" s="309" t="s">
        <v>372</v>
      </c>
      <c r="R165" s="308"/>
      <c r="S165" s="310"/>
      <c r="T165" s="308"/>
      <c r="U165" s="310"/>
    </row>
    <row r="166" spans="1:21" s="282" customFormat="1" hidden="1" x14ac:dyDescent="0.3">
      <c r="A166" s="305">
        <f t="shared" si="2"/>
        <v>163</v>
      </c>
      <c r="B166" s="316">
        <v>1</v>
      </c>
      <c r="C166" s="306" t="s">
        <v>508</v>
      </c>
      <c r="D166" s="306" t="s">
        <v>13</v>
      </c>
      <c r="E166" s="307" t="s">
        <v>366</v>
      </c>
      <c r="F166" s="312"/>
      <c r="G166" s="312"/>
      <c r="H166" s="312"/>
      <c r="I166" s="312"/>
      <c r="J166" s="312"/>
      <c r="K166" s="312"/>
      <c r="L166" s="308"/>
      <c r="M166" s="315"/>
      <c r="N166" s="315"/>
      <c r="O166" s="309"/>
      <c r="P166" s="309"/>
      <c r="Q166" s="309"/>
      <c r="R166" s="308"/>
      <c r="S166" s="310"/>
      <c r="T166" s="308"/>
      <c r="U166" s="310"/>
    </row>
    <row r="167" spans="1:21" s="282" customFormat="1" ht="27.6" hidden="1" x14ac:dyDescent="0.3">
      <c r="A167" s="305">
        <f t="shared" si="2"/>
        <v>164</v>
      </c>
      <c r="B167" s="316">
        <v>1</v>
      </c>
      <c r="C167" s="306" t="s">
        <v>508</v>
      </c>
      <c r="D167" s="306" t="s">
        <v>13</v>
      </c>
      <c r="E167" s="307" t="s">
        <v>669</v>
      </c>
      <c r="F167" s="308"/>
      <c r="G167" s="308"/>
      <c r="H167" s="308"/>
      <c r="I167" s="308"/>
      <c r="J167" s="308"/>
      <c r="K167" s="308"/>
      <c r="L167" s="308"/>
      <c r="M167" s="309"/>
      <c r="N167" s="309"/>
      <c r="O167" s="309"/>
      <c r="P167" s="309"/>
      <c r="Q167" s="309"/>
      <c r="R167" s="308"/>
      <c r="S167" s="310"/>
      <c r="T167" s="308"/>
      <c r="U167" s="310"/>
    </row>
    <row r="168" spans="1:21" s="282" customFormat="1" ht="27.6" hidden="1" x14ac:dyDescent="0.3">
      <c r="A168" s="305">
        <f t="shared" si="2"/>
        <v>165</v>
      </c>
      <c r="B168" s="316">
        <v>1</v>
      </c>
      <c r="C168" s="306" t="s">
        <v>508</v>
      </c>
      <c r="D168" s="306" t="s">
        <v>13</v>
      </c>
      <c r="E168" s="307" t="s">
        <v>104</v>
      </c>
      <c r="F168" s="308"/>
      <c r="G168" s="308"/>
      <c r="H168" s="308"/>
      <c r="I168" s="308"/>
      <c r="J168" s="308"/>
      <c r="K168" s="308"/>
      <c r="L168" s="308"/>
      <c r="M168" s="309" t="s">
        <v>211</v>
      </c>
      <c r="N168" s="311" t="s">
        <v>768</v>
      </c>
      <c r="O168" s="309" t="s">
        <v>670</v>
      </c>
      <c r="P168" s="309" t="s">
        <v>757</v>
      </c>
      <c r="Q168" s="309" t="s">
        <v>212</v>
      </c>
      <c r="R168" s="308"/>
      <c r="S168" s="310"/>
      <c r="T168" s="308"/>
      <c r="U168" s="310"/>
    </row>
    <row r="169" spans="1:21" s="282" customFormat="1" ht="55.2" hidden="1" x14ac:dyDescent="0.3">
      <c r="A169" s="305">
        <f t="shared" si="2"/>
        <v>166</v>
      </c>
      <c r="B169" s="316">
        <v>2</v>
      </c>
      <c r="C169" s="306" t="s">
        <v>508</v>
      </c>
      <c r="D169" s="306" t="s">
        <v>13</v>
      </c>
      <c r="E169" s="307" t="s">
        <v>105</v>
      </c>
      <c r="F169" s="308"/>
      <c r="G169" s="308"/>
      <c r="H169" s="308"/>
      <c r="I169" s="308"/>
      <c r="J169" s="308"/>
      <c r="K169" s="308"/>
      <c r="L169" s="308"/>
      <c r="M169" s="309" t="s">
        <v>211</v>
      </c>
      <c r="N169" s="311" t="s">
        <v>768</v>
      </c>
      <c r="O169" s="309" t="s">
        <v>580</v>
      </c>
      <c r="P169" s="309" t="s">
        <v>671</v>
      </c>
      <c r="Q169" s="309" t="s">
        <v>672</v>
      </c>
      <c r="R169" s="308"/>
      <c r="S169" s="310"/>
      <c r="T169" s="308"/>
      <c r="U169" s="310"/>
    </row>
    <row r="170" spans="1:21" s="282" customFormat="1" ht="27.6" hidden="1" x14ac:dyDescent="0.3">
      <c r="A170" s="305">
        <f t="shared" si="2"/>
        <v>167</v>
      </c>
      <c r="B170" s="316">
        <v>2</v>
      </c>
      <c r="C170" s="306" t="s">
        <v>508</v>
      </c>
      <c r="D170" s="306" t="s">
        <v>13</v>
      </c>
      <c r="E170" s="307" t="s">
        <v>69</v>
      </c>
      <c r="F170" s="308"/>
      <c r="G170" s="308"/>
      <c r="H170" s="308"/>
      <c r="I170" s="308"/>
      <c r="J170" s="308"/>
      <c r="K170" s="308"/>
      <c r="L170" s="308"/>
      <c r="M170" s="309" t="s">
        <v>211</v>
      </c>
      <c r="N170" s="309" t="s">
        <v>770</v>
      </c>
      <c r="O170" s="309" t="s">
        <v>580</v>
      </c>
      <c r="P170" s="309" t="s">
        <v>673</v>
      </c>
      <c r="Q170" s="309" t="s">
        <v>212</v>
      </c>
      <c r="R170" s="308"/>
      <c r="S170" s="310"/>
      <c r="T170" s="308"/>
      <c r="U170" s="310"/>
    </row>
    <row r="171" spans="1:21" s="282" customFormat="1" ht="69" hidden="1" x14ac:dyDescent="0.3">
      <c r="A171" s="305">
        <f t="shared" si="2"/>
        <v>168</v>
      </c>
      <c r="B171" s="316">
        <v>1</v>
      </c>
      <c r="C171" s="306" t="s">
        <v>508</v>
      </c>
      <c r="D171" s="306" t="s">
        <v>13</v>
      </c>
      <c r="E171" s="307" t="s">
        <v>860</v>
      </c>
      <c r="F171" s="308"/>
      <c r="G171" s="308"/>
      <c r="H171" s="308"/>
      <c r="I171" s="308"/>
      <c r="J171" s="308"/>
      <c r="K171" s="308"/>
      <c r="L171" s="308"/>
      <c r="M171" s="285" t="s">
        <v>861</v>
      </c>
      <c r="N171" s="285" t="s">
        <v>862</v>
      </c>
      <c r="O171" s="285" t="s">
        <v>863</v>
      </c>
      <c r="P171" s="285" t="s">
        <v>864</v>
      </c>
      <c r="Q171" s="285" t="s">
        <v>884</v>
      </c>
      <c r="R171" s="308"/>
      <c r="S171" s="310"/>
      <c r="T171" s="308"/>
      <c r="U171" s="310"/>
    </row>
    <row r="172" spans="1:21" s="282" customFormat="1" ht="69" hidden="1" x14ac:dyDescent="0.3">
      <c r="A172" s="305">
        <f t="shared" si="2"/>
        <v>169</v>
      </c>
      <c r="B172" s="316">
        <v>1</v>
      </c>
      <c r="C172" s="306" t="s">
        <v>508</v>
      </c>
      <c r="D172" s="306" t="s">
        <v>13</v>
      </c>
      <c r="E172" s="307" t="s">
        <v>106</v>
      </c>
      <c r="F172" s="308"/>
      <c r="G172" s="308"/>
      <c r="H172" s="308"/>
      <c r="I172" s="308"/>
      <c r="J172" s="308"/>
      <c r="K172" s="308"/>
      <c r="L172" s="308"/>
      <c r="M172" s="309" t="s">
        <v>211</v>
      </c>
      <c r="N172" s="309" t="s">
        <v>378</v>
      </c>
      <c r="O172" s="309" t="s">
        <v>809</v>
      </c>
      <c r="P172" s="309" t="s">
        <v>379</v>
      </c>
      <c r="Q172" s="309" t="s">
        <v>380</v>
      </c>
      <c r="R172" s="308"/>
      <c r="S172" s="310"/>
      <c r="T172" s="308"/>
      <c r="U172" s="310"/>
    </row>
    <row r="173" spans="1:21" s="282" customFormat="1" hidden="1" x14ac:dyDescent="0.3">
      <c r="A173" s="305">
        <f t="shared" si="2"/>
        <v>170</v>
      </c>
      <c r="B173" s="316">
        <v>1</v>
      </c>
      <c r="C173" s="306" t="s">
        <v>508</v>
      </c>
      <c r="D173" s="306" t="s">
        <v>13</v>
      </c>
      <c r="E173" s="307" t="s">
        <v>108</v>
      </c>
      <c r="F173" s="312"/>
      <c r="G173" s="312"/>
      <c r="H173" s="312"/>
      <c r="I173" s="312"/>
      <c r="J173" s="312"/>
      <c r="K173" s="312"/>
      <c r="L173" s="312"/>
      <c r="M173" s="315"/>
      <c r="N173" s="315"/>
      <c r="O173" s="309"/>
      <c r="P173" s="309"/>
      <c r="Q173" s="309"/>
      <c r="R173" s="308"/>
      <c r="S173" s="310"/>
      <c r="T173" s="308"/>
      <c r="U173" s="310"/>
    </row>
    <row r="174" spans="1:21" s="282" customFormat="1" ht="41.4" hidden="1" x14ac:dyDescent="0.3">
      <c r="A174" s="305">
        <f t="shared" si="2"/>
        <v>171</v>
      </c>
      <c r="B174" s="316">
        <v>2</v>
      </c>
      <c r="C174" s="306" t="s">
        <v>508</v>
      </c>
      <c r="D174" s="306" t="s">
        <v>13</v>
      </c>
      <c r="E174" s="307" t="s">
        <v>109</v>
      </c>
      <c r="F174" s="308"/>
      <c r="G174" s="308"/>
      <c r="H174" s="308"/>
      <c r="I174" s="308"/>
      <c r="J174" s="308"/>
      <c r="K174" s="308"/>
      <c r="L174" s="308"/>
      <c r="M174" s="309" t="s">
        <v>211</v>
      </c>
      <c r="N174" s="309" t="s">
        <v>770</v>
      </c>
      <c r="O174" s="309" t="s">
        <v>580</v>
      </c>
      <c r="P174" s="309" t="s">
        <v>885</v>
      </c>
      <c r="Q174" s="309" t="s">
        <v>810</v>
      </c>
      <c r="R174" s="308"/>
      <c r="S174" s="310"/>
      <c r="T174" s="308"/>
      <c r="U174" s="310"/>
    </row>
    <row r="175" spans="1:21" s="282" customFormat="1" ht="41.4" hidden="1" x14ac:dyDescent="0.3">
      <c r="A175" s="305">
        <f t="shared" si="2"/>
        <v>172</v>
      </c>
      <c r="B175" s="316">
        <v>2</v>
      </c>
      <c r="C175" s="306" t="s">
        <v>508</v>
      </c>
      <c r="D175" s="306" t="s">
        <v>13</v>
      </c>
      <c r="E175" s="307" t="s">
        <v>544</v>
      </c>
      <c r="F175" s="308"/>
      <c r="G175" s="308"/>
      <c r="H175" s="308"/>
      <c r="I175" s="308"/>
      <c r="J175" s="308"/>
      <c r="K175" s="308"/>
      <c r="L175" s="308"/>
      <c r="M175" s="309" t="s">
        <v>211</v>
      </c>
      <c r="N175" s="309" t="s">
        <v>770</v>
      </c>
      <c r="O175" s="309" t="s">
        <v>580</v>
      </c>
      <c r="P175" s="309" t="s">
        <v>811</v>
      </c>
      <c r="Q175" s="311" t="s">
        <v>812</v>
      </c>
      <c r="R175" s="308"/>
      <c r="S175" s="310"/>
      <c r="T175" s="308"/>
      <c r="U175" s="310"/>
    </row>
    <row r="176" spans="1:21" s="282" customFormat="1" ht="41.4" hidden="1" x14ac:dyDescent="0.3">
      <c r="A176" s="305">
        <f t="shared" si="2"/>
        <v>173</v>
      </c>
      <c r="B176" s="316">
        <v>2</v>
      </c>
      <c r="C176" s="306" t="s">
        <v>508</v>
      </c>
      <c r="D176" s="306" t="s">
        <v>13</v>
      </c>
      <c r="E176" s="307" t="s">
        <v>545</v>
      </c>
      <c r="F176" s="308"/>
      <c r="G176" s="308"/>
      <c r="H176" s="308"/>
      <c r="I176" s="308"/>
      <c r="J176" s="308"/>
      <c r="K176" s="308"/>
      <c r="L176" s="308"/>
      <c r="M176" s="309" t="s">
        <v>211</v>
      </c>
      <c r="N176" s="309" t="s">
        <v>770</v>
      </c>
      <c r="O176" s="309" t="s">
        <v>580</v>
      </c>
      <c r="P176" s="309" t="s">
        <v>811</v>
      </c>
      <c r="Q176" s="311" t="s">
        <v>812</v>
      </c>
      <c r="R176" s="308"/>
      <c r="S176" s="310"/>
      <c r="T176" s="308"/>
      <c r="U176" s="310"/>
    </row>
    <row r="177" spans="1:21" s="282" customFormat="1" ht="69" hidden="1" x14ac:dyDescent="0.3">
      <c r="A177" s="305">
        <f t="shared" si="2"/>
        <v>174</v>
      </c>
      <c r="B177" s="316">
        <v>1</v>
      </c>
      <c r="C177" s="306" t="s">
        <v>508</v>
      </c>
      <c r="D177" s="306" t="s">
        <v>14</v>
      </c>
      <c r="E177" s="307" t="s">
        <v>546</v>
      </c>
      <c r="F177" s="308"/>
      <c r="G177" s="308"/>
      <c r="H177" s="308"/>
      <c r="I177" s="308"/>
      <c r="J177" s="308"/>
      <c r="K177" s="308"/>
      <c r="L177" s="308"/>
      <c r="M177" s="309" t="s">
        <v>437</v>
      </c>
      <c r="N177" s="309" t="s">
        <v>813</v>
      </c>
      <c r="O177" s="309" t="s">
        <v>438</v>
      </c>
      <c r="P177" s="309" t="s">
        <v>439</v>
      </c>
      <c r="Q177" s="309" t="s">
        <v>440</v>
      </c>
      <c r="R177" s="308"/>
      <c r="S177" s="310"/>
      <c r="T177" s="308"/>
      <c r="U177" s="310"/>
    </row>
    <row r="178" spans="1:21" s="282" customFormat="1" ht="41.4" hidden="1" x14ac:dyDescent="0.3">
      <c r="A178" s="305">
        <f t="shared" si="2"/>
        <v>175</v>
      </c>
      <c r="B178" s="316">
        <v>1</v>
      </c>
      <c r="C178" s="306" t="s">
        <v>508</v>
      </c>
      <c r="D178" s="306" t="s">
        <v>14</v>
      </c>
      <c r="E178" s="307" t="s">
        <v>112</v>
      </c>
      <c r="F178" s="308"/>
      <c r="G178" s="308"/>
      <c r="H178" s="308"/>
      <c r="I178" s="308"/>
      <c r="J178" s="308"/>
      <c r="K178" s="308"/>
      <c r="L178" s="308"/>
      <c r="M178" s="309" t="s">
        <v>211</v>
      </c>
      <c r="N178" s="311" t="s">
        <v>768</v>
      </c>
      <c r="O178" s="309" t="s">
        <v>381</v>
      </c>
      <c r="P178" s="309" t="s">
        <v>382</v>
      </c>
      <c r="Q178" s="309" t="s">
        <v>212</v>
      </c>
      <c r="R178" s="308"/>
      <c r="S178" s="310"/>
      <c r="T178" s="308"/>
      <c r="U178" s="310"/>
    </row>
    <row r="179" spans="1:21" s="282" customFormat="1" hidden="1" x14ac:dyDescent="0.3">
      <c r="A179" s="305">
        <f t="shared" si="2"/>
        <v>176</v>
      </c>
      <c r="B179" s="316">
        <v>2</v>
      </c>
      <c r="C179" s="306" t="s">
        <v>508</v>
      </c>
      <c r="D179" s="306" t="s">
        <v>14</v>
      </c>
      <c r="E179" s="307" t="s">
        <v>386</v>
      </c>
      <c r="F179" s="308"/>
      <c r="G179" s="308"/>
      <c r="H179" s="308"/>
      <c r="I179" s="308"/>
      <c r="J179" s="308"/>
      <c r="K179" s="308"/>
      <c r="L179" s="308"/>
      <c r="M179" s="309" t="s">
        <v>229</v>
      </c>
      <c r="N179" s="309" t="s">
        <v>778</v>
      </c>
      <c r="O179" s="309" t="s">
        <v>779</v>
      </c>
      <c r="P179" s="309" t="s">
        <v>780</v>
      </c>
      <c r="Q179" s="309" t="s">
        <v>232</v>
      </c>
      <c r="R179" s="308"/>
      <c r="S179" s="310"/>
      <c r="T179" s="308"/>
      <c r="U179" s="310"/>
    </row>
    <row r="180" spans="1:21" s="282" customFormat="1" ht="27.6" hidden="1" x14ac:dyDescent="0.3">
      <c r="A180" s="305">
        <f t="shared" si="2"/>
        <v>177</v>
      </c>
      <c r="B180" s="316">
        <v>2</v>
      </c>
      <c r="C180" s="306" t="s">
        <v>508</v>
      </c>
      <c r="D180" s="306" t="s">
        <v>14</v>
      </c>
      <c r="E180" s="307" t="s">
        <v>385</v>
      </c>
      <c r="F180" s="308"/>
      <c r="G180" s="308"/>
      <c r="H180" s="308"/>
      <c r="I180" s="308"/>
      <c r="J180" s="308"/>
      <c r="K180" s="308"/>
      <c r="L180" s="308"/>
      <c r="M180" s="309" t="s">
        <v>229</v>
      </c>
      <c r="N180" s="309" t="s">
        <v>778</v>
      </c>
      <c r="O180" s="309" t="s">
        <v>779</v>
      </c>
      <c r="P180" s="309" t="s">
        <v>780</v>
      </c>
      <c r="Q180" s="309" t="s">
        <v>232</v>
      </c>
      <c r="R180" s="308"/>
      <c r="S180" s="310"/>
      <c r="T180" s="308"/>
      <c r="U180" s="310"/>
    </row>
    <row r="181" spans="1:21" s="282" customFormat="1" hidden="1" x14ac:dyDescent="0.3">
      <c r="A181" s="305">
        <f t="shared" si="2"/>
        <v>178</v>
      </c>
      <c r="B181" s="316">
        <v>2</v>
      </c>
      <c r="C181" s="306" t="s">
        <v>508</v>
      </c>
      <c r="D181" s="306" t="s">
        <v>14</v>
      </c>
      <c r="E181" s="307" t="s">
        <v>384</v>
      </c>
      <c r="F181" s="308"/>
      <c r="G181" s="308"/>
      <c r="H181" s="308"/>
      <c r="I181" s="308"/>
      <c r="J181" s="308"/>
      <c r="K181" s="308"/>
      <c r="L181" s="308"/>
      <c r="M181" s="309" t="s">
        <v>229</v>
      </c>
      <c r="N181" s="309" t="s">
        <v>778</v>
      </c>
      <c r="O181" s="309" t="s">
        <v>779</v>
      </c>
      <c r="P181" s="309" t="s">
        <v>780</v>
      </c>
      <c r="Q181" s="309" t="s">
        <v>232</v>
      </c>
      <c r="R181" s="308"/>
      <c r="S181" s="310"/>
      <c r="T181" s="308"/>
      <c r="U181" s="310"/>
    </row>
    <row r="182" spans="1:21" s="282" customFormat="1" ht="69" hidden="1" x14ac:dyDescent="0.3">
      <c r="A182" s="305">
        <f t="shared" si="2"/>
        <v>179</v>
      </c>
      <c r="B182" s="313">
        <v>3</v>
      </c>
      <c r="C182" s="306" t="s">
        <v>508</v>
      </c>
      <c r="D182" s="306" t="s">
        <v>14</v>
      </c>
      <c r="E182" s="307" t="s">
        <v>416</v>
      </c>
      <c r="F182" s="308"/>
      <c r="G182" s="308"/>
      <c r="H182" s="308"/>
      <c r="I182" s="308"/>
      <c r="J182" s="308"/>
      <c r="K182" s="308"/>
      <c r="L182" s="308"/>
      <c r="M182" s="309" t="s">
        <v>211</v>
      </c>
      <c r="N182" s="309" t="s">
        <v>417</v>
      </c>
      <c r="O182" s="311" t="s">
        <v>814</v>
      </c>
      <c r="P182" s="309" t="s">
        <v>418</v>
      </c>
      <c r="Q182" s="309" t="s">
        <v>547</v>
      </c>
      <c r="R182" s="308"/>
      <c r="S182" s="310"/>
      <c r="T182" s="308"/>
      <c r="U182" s="310"/>
    </row>
    <row r="183" spans="1:21" s="282" customFormat="1" ht="82.8" hidden="1" x14ac:dyDescent="0.3">
      <c r="A183" s="305">
        <f t="shared" si="2"/>
        <v>180</v>
      </c>
      <c r="B183" s="316">
        <v>2</v>
      </c>
      <c r="C183" s="306" t="s">
        <v>508</v>
      </c>
      <c r="D183" s="306" t="s">
        <v>14</v>
      </c>
      <c r="E183" s="307" t="s">
        <v>420</v>
      </c>
      <c r="F183" s="308"/>
      <c r="G183" s="308"/>
      <c r="H183" s="310"/>
      <c r="I183" s="308"/>
      <c r="J183" s="308"/>
      <c r="K183" s="308"/>
      <c r="L183" s="308"/>
      <c r="M183" s="309" t="s">
        <v>211</v>
      </c>
      <c r="N183" s="309" t="s">
        <v>421</v>
      </c>
      <c r="O183" s="309" t="s">
        <v>816</v>
      </c>
      <c r="P183" s="309" t="s">
        <v>815</v>
      </c>
      <c r="Q183" s="309" t="s">
        <v>423</v>
      </c>
      <c r="R183" s="308"/>
      <c r="S183" s="310"/>
      <c r="T183" s="308"/>
      <c r="U183" s="310"/>
    </row>
    <row r="184" spans="1:21" s="282" customFormat="1" ht="82.8" hidden="1" x14ac:dyDescent="0.3">
      <c r="A184" s="305">
        <f t="shared" si="2"/>
        <v>181</v>
      </c>
      <c r="B184" s="313">
        <v>3</v>
      </c>
      <c r="C184" s="306" t="s">
        <v>508</v>
      </c>
      <c r="D184" s="306" t="s">
        <v>14</v>
      </c>
      <c r="E184" s="307" t="s">
        <v>424</v>
      </c>
      <c r="F184" s="308"/>
      <c r="G184" s="308"/>
      <c r="H184" s="308"/>
      <c r="I184" s="308"/>
      <c r="J184" s="308"/>
      <c r="K184" s="308"/>
      <c r="L184" s="308"/>
      <c r="M184" s="309" t="s">
        <v>211</v>
      </c>
      <c r="N184" s="309" t="s">
        <v>363</v>
      </c>
      <c r="O184" s="309" t="s">
        <v>427</v>
      </c>
      <c r="P184" s="309" t="s">
        <v>425</v>
      </c>
      <c r="Q184" s="309" t="s">
        <v>426</v>
      </c>
      <c r="R184" s="308"/>
      <c r="S184" s="310"/>
      <c r="T184" s="308"/>
      <c r="U184" s="310"/>
    </row>
    <row r="185" spans="1:21" s="282" customFormat="1" ht="55.2" hidden="1" x14ac:dyDescent="0.3">
      <c r="A185" s="305">
        <f t="shared" si="2"/>
        <v>182</v>
      </c>
      <c r="B185" s="313">
        <v>3</v>
      </c>
      <c r="C185" s="306" t="s">
        <v>508</v>
      </c>
      <c r="D185" s="306" t="s">
        <v>14</v>
      </c>
      <c r="E185" s="307" t="s">
        <v>540</v>
      </c>
      <c r="F185" s="308"/>
      <c r="G185" s="308"/>
      <c r="H185" s="308"/>
      <c r="I185" s="308"/>
      <c r="J185" s="308"/>
      <c r="K185" s="308"/>
      <c r="L185" s="308"/>
      <c r="M185" s="309" t="s">
        <v>211</v>
      </c>
      <c r="N185" s="309" t="s">
        <v>363</v>
      </c>
      <c r="O185" s="309" t="s">
        <v>429</v>
      </c>
      <c r="P185" s="309" t="s">
        <v>430</v>
      </c>
      <c r="Q185" s="309" t="s">
        <v>431</v>
      </c>
      <c r="R185" s="308"/>
      <c r="S185" s="310"/>
      <c r="T185" s="308"/>
      <c r="U185" s="310"/>
    </row>
    <row r="186" spans="1:21" s="282" customFormat="1" ht="27.6" hidden="1" x14ac:dyDescent="0.3">
      <c r="A186" s="305">
        <f t="shared" si="2"/>
        <v>183</v>
      </c>
      <c r="B186" s="313">
        <v>3</v>
      </c>
      <c r="C186" s="306" t="s">
        <v>508</v>
      </c>
      <c r="D186" s="306" t="s">
        <v>14</v>
      </c>
      <c r="E186" s="307" t="s">
        <v>691</v>
      </c>
      <c r="F186" s="312"/>
      <c r="G186" s="312"/>
      <c r="H186" s="312"/>
      <c r="I186" s="312"/>
      <c r="J186" s="312"/>
      <c r="K186" s="312"/>
      <c r="L186" s="312"/>
      <c r="M186" s="309"/>
      <c r="N186" s="309"/>
      <c r="O186" s="309"/>
      <c r="P186" s="309"/>
      <c r="Q186" s="309"/>
      <c r="R186" s="308"/>
      <c r="S186" s="310"/>
      <c r="T186" s="308"/>
      <c r="U186" s="310"/>
    </row>
    <row r="187" spans="1:21" s="282" customFormat="1" ht="69" hidden="1" x14ac:dyDescent="0.3">
      <c r="A187" s="305">
        <f t="shared" si="2"/>
        <v>184</v>
      </c>
      <c r="B187" s="305">
        <v>1</v>
      </c>
      <c r="C187" s="306" t="s">
        <v>508</v>
      </c>
      <c r="D187" s="306" t="s">
        <v>348</v>
      </c>
      <c r="E187" s="307" t="s">
        <v>611</v>
      </c>
      <c r="F187" s="308"/>
      <c r="G187" s="308"/>
      <c r="H187" s="308"/>
      <c r="I187" s="308"/>
      <c r="J187" s="308"/>
      <c r="K187" s="308"/>
      <c r="L187" s="308"/>
      <c r="M187" s="309" t="s">
        <v>211</v>
      </c>
      <c r="N187" s="309" t="s">
        <v>777</v>
      </c>
      <c r="O187" s="309" t="s">
        <v>584</v>
      </c>
      <c r="P187" s="309" t="s">
        <v>585</v>
      </c>
      <c r="Q187" s="309" t="s">
        <v>674</v>
      </c>
      <c r="R187" s="308"/>
      <c r="S187" s="310"/>
      <c r="T187" s="308"/>
      <c r="U187" s="310"/>
    </row>
    <row r="188" spans="1:21" s="282" customFormat="1" ht="27.6" hidden="1" x14ac:dyDescent="0.3">
      <c r="A188" s="305">
        <f t="shared" si="2"/>
        <v>185</v>
      </c>
      <c r="B188" s="305">
        <v>1</v>
      </c>
      <c r="C188" s="306" t="s">
        <v>508</v>
      </c>
      <c r="D188" s="306" t="s">
        <v>348</v>
      </c>
      <c r="E188" s="307" t="s">
        <v>612</v>
      </c>
      <c r="F188" s="308"/>
      <c r="G188" s="308"/>
      <c r="H188" s="308"/>
      <c r="I188" s="308"/>
      <c r="J188" s="308"/>
      <c r="K188" s="308"/>
      <c r="L188" s="308"/>
      <c r="M188" s="309"/>
      <c r="N188" s="309"/>
      <c r="O188" s="309"/>
      <c r="P188" s="309"/>
      <c r="Q188" s="309"/>
      <c r="R188" s="308"/>
      <c r="S188" s="310"/>
      <c r="T188" s="308"/>
      <c r="U188" s="310"/>
    </row>
    <row r="189" spans="1:21" s="282" customFormat="1" ht="55.2" hidden="1" x14ac:dyDescent="0.3">
      <c r="A189" s="305">
        <f t="shared" si="2"/>
        <v>186</v>
      </c>
      <c r="B189" s="305">
        <v>1</v>
      </c>
      <c r="C189" s="306" t="s">
        <v>508</v>
      </c>
      <c r="D189" s="306" t="s">
        <v>348</v>
      </c>
      <c r="E189" s="307" t="s">
        <v>101</v>
      </c>
      <c r="F189" s="308"/>
      <c r="G189" s="308"/>
      <c r="H189" s="308"/>
      <c r="I189" s="308"/>
      <c r="J189" s="308"/>
      <c r="K189" s="308"/>
      <c r="L189" s="308"/>
      <c r="M189" s="309" t="s">
        <v>211</v>
      </c>
      <c r="N189" s="309" t="s">
        <v>591</v>
      </c>
      <c r="O189" s="309" t="s">
        <v>592</v>
      </c>
      <c r="P189" s="309" t="s">
        <v>590</v>
      </c>
      <c r="Q189" s="301" t="s">
        <v>837</v>
      </c>
      <c r="R189" s="308"/>
      <c r="S189" s="310"/>
      <c r="T189" s="308"/>
      <c r="U189" s="310"/>
    </row>
    <row r="190" spans="1:21" s="282" customFormat="1" ht="41.4" hidden="1" x14ac:dyDescent="0.3">
      <c r="A190" s="305">
        <f t="shared" si="2"/>
        <v>187</v>
      </c>
      <c r="B190" s="316">
        <v>2</v>
      </c>
      <c r="C190" s="306" t="s">
        <v>508</v>
      </c>
      <c r="D190" s="306" t="s">
        <v>348</v>
      </c>
      <c r="E190" s="307" t="s">
        <v>62</v>
      </c>
      <c r="F190" s="312"/>
      <c r="G190" s="310"/>
      <c r="H190" s="312"/>
      <c r="I190" s="312"/>
      <c r="J190" s="312"/>
      <c r="K190" s="312"/>
      <c r="L190" s="308"/>
      <c r="M190" s="309" t="s">
        <v>211</v>
      </c>
      <c r="N190" s="309" t="s">
        <v>770</v>
      </c>
      <c r="O190" s="309" t="s">
        <v>580</v>
      </c>
      <c r="P190" s="309" t="s">
        <v>675</v>
      </c>
      <c r="Q190" s="309" t="s">
        <v>701</v>
      </c>
      <c r="R190" s="308"/>
      <c r="S190" s="310"/>
      <c r="T190" s="308"/>
      <c r="U190" s="310"/>
    </row>
    <row r="191" spans="1:21" s="282" customFormat="1" ht="41.4" hidden="1" x14ac:dyDescent="0.3">
      <c r="A191" s="305">
        <f t="shared" si="2"/>
        <v>188</v>
      </c>
      <c r="B191" s="316">
        <v>2</v>
      </c>
      <c r="C191" s="306" t="s">
        <v>508</v>
      </c>
      <c r="D191" s="306" t="s">
        <v>348</v>
      </c>
      <c r="E191" s="307" t="s">
        <v>471</v>
      </c>
      <c r="F191" s="312"/>
      <c r="G191" s="312"/>
      <c r="H191" s="312"/>
      <c r="I191" s="312"/>
      <c r="J191" s="312"/>
      <c r="K191" s="312"/>
      <c r="L191" s="308"/>
      <c r="M191" s="309" t="s">
        <v>211</v>
      </c>
      <c r="N191" s="309" t="s">
        <v>770</v>
      </c>
      <c r="O191" s="309" t="s">
        <v>580</v>
      </c>
      <c r="P191" s="309" t="s">
        <v>703</v>
      </c>
      <c r="Q191" s="309" t="s">
        <v>395</v>
      </c>
      <c r="R191" s="308"/>
      <c r="S191" s="310"/>
      <c r="T191" s="308"/>
      <c r="U191" s="310"/>
    </row>
    <row r="192" spans="1:21" s="282" customFormat="1" hidden="1" x14ac:dyDescent="0.3">
      <c r="A192" s="305">
        <f t="shared" si="2"/>
        <v>189</v>
      </c>
      <c r="B192" s="316">
        <v>2</v>
      </c>
      <c r="C192" s="306" t="s">
        <v>508</v>
      </c>
      <c r="D192" s="306" t="s">
        <v>348</v>
      </c>
      <c r="E192" s="307" t="s">
        <v>472</v>
      </c>
      <c r="F192" s="312"/>
      <c r="G192" s="312"/>
      <c r="H192" s="312"/>
      <c r="I192" s="312"/>
      <c r="J192" s="312"/>
      <c r="K192" s="312"/>
      <c r="L192" s="308"/>
      <c r="M192" s="309"/>
      <c r="N192" s="309"/>
      <c r="O192" s="309"/>
      <c r="P192" s="309"/>
      <c r="Q192" s="309"/>
      <c r="R192" s="308"/>
      <c r="S192" s="310"/>
      <c r="T192" s="308"/>
      <c r="U192" s="310"/>
    </row>
    <row r="193" spans="1:21" s="282" customFormat="1" ht="41.4" hidden="1" x14ac:dyDescent="0.3">
      <c r="A193" s="305">
        <f t="shared" si="2"/>
        <v>190</v>
      </c>
      <c r="B193" s="316">
        <v>2</v>
      </c>
      <c r="C193" s="306" t="s">
        <v>508</v>
      </c>
      <c r="D193" s="306" t="s">
        <v>348</v>
      </c>
      <c r="E193" s="307" t="s">
        <v>473</v>
      </c>
      <c r="F193" s="312"/>
      <c r="G193" s="312"/>
      <c r="H193" s="312"/>
      <c r="I193" s="312"/>
      <c r="J193" s="312"/>
      <c r="K193" s="312"/>
      <c r="L193" s="308"/>
      <c r="M193" s="309" t="s">
        <v>211</v>
      </c>
      <c r="N193" s="309" t="s">
        <v>770</v>
      </c>
      <c r="O193" s="309" t="s">
        <v>580</v>
      </c>
      <c r="P193" s="309" t="s">
        <v>703</v>
      </c>
      <c r="Q193" s="309" t="s">
        <v>395</v>
      </c>
      <c r="R193" s="308"/>
      <c r="S193" s="310"/>
      <c r="T193" s="308"/>
      <c r="U193" s="310"/>
    </row>
    <row r="194" spans="1:21" s="282" customFormat="1" hidden="1" x14ac:dyDescent="0.3">
      <c r="A194" s="305">
        <f t="shared" si="2"/>
        <v>191</v>
      </c>
      <c r="B194" s="316">
        <v>2</v>
      </c>
      <c r="C194" s="306" t="s">
        <v>508</v>
      </c>
      <c r="D194" s="306" t="s">
        <v>348</v>
      </c>
      <c r="E194" s="307" t="s">
        <v>474</v>
      </c>
      <c r="F194" s="312"/>
      <c r="G194" s="312"/>
      <c r="H194" s="312"/>
      <c r="I194" s="312"/>
      <c r="J194" s="312"/>
      <c r="K194" s="312"/>
      <c r="L194" s="308"/>
      <c r="M194" s="309"/>
      <c r="N194" s="309"/>
      <c r="O194" s="309"/>
      <c r="P194" s="309"/>
      <c r="Q194" s="309"/>
      <c r="R194" s="308"/>
      <c r="S194" s="310"/>
      <c r="T194" s="308"/>
      <c r="U194" s="310"/>
    </row>
    <row r="195" spans="1:21" s="282" customFormat="1" ht="41.4" hidden="1" x14ac:dyDescent="0.3">
      <c r="A195" s="305">
        <f t="shared" si="2"/>
        <v>192</v>
      </c>
      <c r="B195" s="313">
        <v>3</v>
      </c>
      <c r="C195" s="306" t="s">
        <v>508</v>
      </c>
      <c r="D195" s="306" t="s">
        <v>348</v>
      </c>
      <c r="E195" s="307" t="s">
        <v>565</v>
      </c>
      <c r="F195" s="312"/>
      <c r="G195" s="312"/>
      <c r="H195" s="312"/>
      <c r="I195" s="312"/>
      <c r="J195" s="312"/>
      <c r="K195" s="312"/>
      <c r="L195" s="308"/>
      <c r="M195" s="309" t="s">
        <v>211</v>
      </c>
      <c r="N195" s="309" t="s">
        <v>363</v>
      </c>
      <c r="O195" s="311" t="s">
        <v>817</v>
      </c>
      <c r="P195" s="309" t="s">
        <v>818</v>
      </c>
      <c r="Q195" s="309" t="s">
        <v>819</v>
      </c>
      <c r="R195" s="308"/>
      <c r="S195" s="310"/>
      <c r="T195" s="308"/>
      <c r="U195" s="310"/>
    </row>
    <row r="196" spans="1:21" s="282" customFormat="1" ht="55.2" hidden="1" x14ac:dyDescent="0.3">
      <c r="A196" s="305">
        <f t="shared" si="2"/>
        <v>193</v>
      </c>
      <c r="B196" s="305">
        <v>1</v>
      </c>
      <c r="C196" s="306" t="s">
        <v>538</v>
      </c>
      <c r="D196" s="306" t="s">
        <v>510</v>
      </c>
      <c r="E196" s="307" t="s">
        <v>185</v>
      </c>
      <c r="F196" s="318"/>
      <c r="G196" s="308"/>
      <c r="H196" s="308"/>
      <c r="I196" s="318"/>
      <c r="J196" s="318"/>
      <c r="K196" s="318"/>
      <c r="L196" s="318"/>
      <c r="M196" s="309" t="s">
        <v>211</v>
      </c>
      <c r="N196" s="309" t="s">
        <v>768</v>
      </c>
      <c r="O196" s="309" t="s">
        <v>580</v>
      </c>
      <c r="P196" s="309" t="s">
        <v>676</v>
      </c>
      <c r="Q196" s="309" t="s">
        <v>834</v>
      </c>
      <c r="R196" s="308"/>
      <c r="S196" s="310"/>
      <c r="T196" s="308"/>
      <c r="U196" s="310"/>
    </row>
    <row r="197" spans="1:21" s="282" customFormat="1" ht="41.4" hidden="1" x14ac:dyDescent="0.3">
      <c r="A197" s="305">
        <f t="shared" si="2"/>
        <v>194</v>
      </c>
      <c r="B197" s="305">
        <v>1</v>
      </c>
      <c r="C197" s="306" t="s">
        <v>538</v>
      </c>
      <c r="D197" s="306" t="s">
        <v>510</v>
      </c>
      <c r="E197" s="307" t="s">
        <v>60</v>
      </c>
      <c r="F197" s="308"/>
      <c r="G197" s="308"/>
      <c r="H197" s="308"/>
      <c r="I197" s="308"/>
      <c r="J197" s="308"/>
      <c r="K197" s="308"/>
      <c r="L197" s="308"/>
      <c r="M197" s="309" t="s">
        <v>229</v>
      </c>
      <c r="N197" s="309" t="s">
        <v>778</v>
      </c>
      <c r="O197" s="309" t="s">
        <v>779</v>
      </c>
      <c r="P197" s="309" t="s">
        <v>780</v>
      </c>
      <c r="Q197" s="309" t="s">
        <v>232</v>
      </c>
      <c r="R197" s="308"/>
      <c r="S197" s="310"/>
      <c r="T197" s="308"/>
      <c r="U197" s="310"/>
    </row>
    <row r="198" spans="1:21" s="282" customFormat="1" ht="41.4" hidden="1" x14ac:dyDescent="0.3">
      <c r="A198" s="305">
        <f t="shared" ref="A198:A215" si="3">A197+1</f>
        <v>195</v>
      </c>
      <c r="B198" s="305">
        <v>1</v>
      </c>
      <c r="C198" s="306" t="s">
        <v>538</v>
      </c>
      <c r="D198" s="306" t="s">
        <v>510</v>
      </c>
      <c r="E198" s="307" t="s">
        <v>548</v>
      </c>
      <c r="F198" s="308"/>
      <c r="G198" s="308"/>
      <c r="H198" s="308"/>
      <c r="I198" s="308"/>
      <c r="J198" s="308"/>
      <c r="K198" s="308"/>
      <c r="L198" s="308"/>
      <c r="M198" s="309" t="s">
        <v>820</v>
      </c>
      <c r="N198" s="309" t="s">
        <v>821</v>
      </c>
      <c r="O198" s="309" t="s">
        <v>822</v>
      </c>
      <c r="P198" s="309" t="s">
        <v>823</v>
      </c>
      <c r="Q198" s="309" t="s">
        <v>454</v>
      </c>
      <c r="R198" s="308"/>
      <c r="S198" s="310"/>
      <c r="T198" s="308"/>
      <c r="U198" s="310"/>
    </row>
    <row r="199" spans="1:21" s="282" customFormat="1" ht="41.4" hidden="1" x14ac:dyDescent="0.3">
      <c r="A199" s="305">
        <f t="shared" si="3"/>
        <v>196</v>
      </c>
      <c r="B199" s="305">
        <v>1</v>
      </c>
      <c r="C199" s="306" t="s">
        <v>538</v>
      </c>
      <c r="D199" s="306" t="s">
        <v>510</v>
      </c>
      <c r="E199" s="307" t="s">
        <v>186</v>
      </c>
      <c r="F199" s="312"/>
      <c r="G199" s="312"/>
      <c r="H199" s="312"/>
      <c r="I199" s="312"/>
      <c r="J199" s="312"/>
      <c r="K199" s="312"/>
      <c r="L199" s="312"/>
      <c r="M199" s="309"/>
      <c r="N199" s="309"/>
      <c r="O199" s="309"/>
      <c r="P199" s="309"/>
      <c r="Q199" s="309"/>
      <c r="R199" s="308"/>
      <c r="S199" s="310"/>
      <c r="T199" s="308"/>
      <c r="U199" s="310"/>
    </row>
    <row r="200" spans="1:21" s="282" customFormat="1" ht="96.6" hidden="1" x14ac:dyDescent="0.3">
      <c r="A200" s="305">
        <f t="shared" si="3"/>
        <v>197</v>
      </c>
      <c r="B200" s="305">
        <v>2</v>
      </c>
      <c r="C200" s="306" t="s">
        <v>538</v>
      </c>
      <c r="D200" s="306" t="s">
        <v>510</v>
      </c>
      <c r="E200" s="307" t="s">
        <v>97</v>
      </c>
      <c r="F200" s="308"/>
      <c r="G200" s="308"/>
      <c r="H200" s="308"/>
      <c r="I200" s="308"/>
      <c r="J200" s="308"/>
      <c r="K200" s="308"/>
      <c r="L200" s="308"/>
      <c r="M200" s="309" t="s">
        <v>211</v>
      </c>
      <c r="N200" s="309" t="s">
        <v>770</v>
      </c>
      <c r="O200" s="309" t="s">
        <v>580</v>
      </c>
      <c r="P200" s="309" t="s">
        <v>835</v>
      </c>
      <c r="Q200" s="301" t="s">
        <v>836</v>
      </c>
      <c r="R200" s="308"/>
      <c r="S200" s="309"/>
      <c r="T200" s="308"/>
      <c r="U200" s="309"/>
    </row>
    <row r="201" spans="1:21" s="282" customFormat="1" ht="41.4" hidden="1" x14ac:dyDescent="0.3">
      <c r="A201" s="305">
        <f t="shared" si="3"/>
        <v>198</v>
      </c>
      <c r="B201" s="316">
        <v>1</v>
      </c>
      <c r="C201" s="306" t="s">
        <v>538</v>
      </c>
      <c r="D201" s="306" t="s">
        <v>510</v>
      </c>
      <c r="E201" s="307" t="s">
        <v>107</v>
      </c>
      <c r="F201" s="308"/>
      <c r="G201" s="308"/>
      <c r="H201" s="308"/>
      <c r="I201" s="308"/>
      <c r="J201" s="308"/>
      <c r="K201" s="308"/>
      <c r="L201" s="308"/>
      <c r="M201" s="309" t="s">
        <v>211</v>
      </c>
      <c r="N201" s="309" t="s">
        <v>768</v>
      </c>
      <c r="O201" s="309" t="s">
        <v>580</v>
      </c>
      <c r="P201" s="309" t="s">
        <v>379</v>
      </c>
      <c r="Q201" s="309" t="s">
        <v>380</v>
      </c>
      <c r="R201" s="308"/>
      <c r="S201" s="309"/>
      <c r="T201" s="308"/>
      <c r="U201" s="309"/>
    </row>
    <row r="202" spans="1:21" s="282" customFormat="1" ht="82.8" hidden="1" x14ac:dyDescent="0.3">
      <c r="A202" s="305">
        <f t="shared" si="3"/>
        <v>199</v>
      </c>
      <c r="B202" s="305">
        <v>1</v>
      </c>
      <c r="C202" s="306" t="s">
        <v>538</v>
      </c>
      <c r="D202" s="306" t="s">
        <v>510</v>
      </c>
      <c r="E202" s="307" t="s">
        <v>509</v>
      </c>
      <c r="F202" s="308"/>
      <c r="G202" s="308"/>
      <c r="H202" s="308"/>
      <c r="I202" s="308"/>
      <c r="J202" s="308"/>
      <c r="K202" s="308"/>
      <c r="L202" s="308"/>
      <c r="M202" s="309" t="s">
        <v>511</v>
      </c>
      <c r="N202" s="309" t="s">
        <v>824</v>
      </c>
      <c r="O202" s="309" t="s">
        <v>512</v>
      </c>
      <c r="P202" s="309" t="s">
        <v>513</v>
      </c>
      <c r="Q202" s="309" t="s">
        <v>514</v>
      </c>
      <c r="R202" s="308"/>
      <c r="S202" s="310"/>
      <c r="T202" s="308"/>
      <c r="U202" s="310"/>
    </row>
    <row r="203" spans="1:21" s="284" customFormat="1" ht="69" hidden="1" x14ac:dyDescent="0.3">
      <c r="A203" s="305">
        <f t="shared" si="3"/>
        <v>200</v>
      </c>
      <c r="B203" s="305">
        <v>1</v>
      </c>
      <c r="C203" s="306" t="s">
        <v>538</v>
      </c>
      <c r="D203" s="306" t="s">
        <v>510</v>
      </c>
      <c r="E203" s="306" t="s">
        <v>458</v>
      </c>
      <c r="F203" s="308"/>
      <c r="G203" s="308"/>
      <c r="H203" s="308"/>
      <c r="I203" s="308"/>
      <c r="J203" s="308"/>
      <c r="K203" s="308"/>
      <c r="L203" s="308"/>
      <c r="M203" s="309" t="s">
        <v>459</v>
      </c>
      <c r="N203" s="309" t="s">
        <v>825</v>
      </c>
      <c r="O203" s="309" t="s">
        <v>460</v>
      </c>
      <c r="P203" s="309" t="s">
        <v>461</v>
      </c>
      <c r="Q203" s="309" t="s">
        <v>462</v>
      </c>
      <c r="R203" s="308"/>
      <c r="S203" s="309"/>
      <c r="T203" s="308"/>
      <c r="U203" s="309"/>
    </row>
    <row r="204" spans="1:21" s="284" customFormat="1" ht="41.4" hidden="1" x14ac:dyDescent="0.3">
      <c r="A204" s="305">
        <f t="shared" si="3"/>
        <v>201</v>
      </c>
      <c r="B204" s="305">
        <v>1</v>
      </c>
      <c r="C204" s="306" t="s">
        <v>538</v>
      </c>
      <c r="D204" s="306" t="s">
        <v>510</v>
      </c>
      <c r="E204" s="306" t="s">
        <v>486</v>
      </c>
      <c r="F204" s="312"/>
      <c r="G204" s="308"/>
      <c r="H204" s="312"/>
      <c r="I204" s="312"/>
      <c r="J204" s="312"/>
      <c r="K204" s="312"/>
      <c r="L204" s="312"/>
      <c r="M204" s="309"/>
      <c r="N204" s="309"/>
      <c r="O204" s="309"/>
      <c r="P204" s="309"/>
      <c r="Q204" s="309"/>
      <c r="R204" s="308"/>
      <c r="S204" s="309"/>
      <c r="T204" s="308"/>
      <c r="U204" s="309"/>
    </row>
    <row r="205" spans="1:21" s="282" customFormat="1" ht="41.4" hidden="1" x14ac:dyDescent="0.3">
      <c r="A205" s="305">
        <f t="shared" si="3"/>
        <v>202</v>
      </c>
      <c r="B205" s="305">
        <v>1</v>
      </c>
      <c r="C205" s="306" t="s">
        <v>538</v>
      </c>
      <c r="D205" s="306" t="s">
        <v>539</v>
      </c>
      <c r="E205" s="307" t="s">
        <v>573</v>
      </c>
      <c r="F205" s="308"/>
      <c r="G205" s="308"/>
      <c r="H205" s="308"/>
      <c r="I205" s="308"/>
      <c r="J205" s="308"/>
      <c r="K205" s="308"/>
      <c r="L205" s="308"/>
      <c r="M205" s="309" t="s">
        <v>865</v>
      </c>
      <c r="N205" s="309" t="s">
        <v>867</v>
      </c>
      <c r="O205" s="309" t="s">
        <v>886</v>
      </c>
      <c r="P205" s="309" t="s">
        <v>868</v>
      </c>
      <c r="Q205" s="309" t="s">
        <v>866</v>
      </c>
      <c r="R205" s="308"/>
      <c r="S205" s="310"/>
      <c r="T205" s="308"/>
      <c r="U205" s="310"/>
    </row>
    <row r="206" spans="1:21" s="282" customFormat="1" ht="41.4" hidden="1" x14ac:dyDescent="0.3">
      <c r="A206" s="305">
        <f t="shared" si="3"/>
        <v>203</v>
      </c>
      <c r="B206" s="305">
        <v>1</v>
      </c>
      <c r="C206" s="306" t="s">
        <v>538</v>
      </c>
      <c r="D206" s="306" t="s">
        <v>539</v>
      </c>
      <c r="E206" s="307" t="s">
        <v>574</v>
      </c>
      <c r="F206" s="308"/>
      <c r="G206" s="308"/>
      <c r="H206" s="308"/>
      <c r="I206" s="308"/>
      <c r="J206" s="308"/>
      <c r="K206" s="308"/>
      <c r="L206" s="308"/>
      <c r="M206" s="309" t="s">
        <v>211</v>
      </c>
      <c r="N206" s="309" t="s">
        <v>636</v>
      </c>
      <c r="O206" s="309" t="s">
        <v>593</v>
      </c>
      <c r="P206" s="309" t="s">
        <v>702</v>
      </c>
      <c r="Q206" s="309" t="s">
        <v>677</v>
      </c>
      <c r="R206" s="308"/>
      <c r="S206" s="310"/>
      <c r="T206" s="308"/>
      <c r="U206" s="310"/>
    </row>
    <row r="207" spans="1:21" s="282" customFormat="1" ht="41.4" hidden="1" x14ac:dyDescent="0.3">
      <c r="A207" s="305">
        <f t="shared" si="3"/>
        <v>204</v>
      </c>
      <c r="B207" s="305">
        <v>1</v>
      </c>
      <c r="C207" s="306" t="s">
        <v>538</v>
      </c>
      <c r="D207" s="306" t="s">
        <v>539</v>
      </c>
      <c r="E207" s="307" t="s">
        <v>343</v>
      </c>
      <c r="F207" s="308"/>
      <c r="G207" s="308"/>
      <c r="H207" s="308"/>
      <c r="I207" s="308"/>
      <c r="J207" s="308"/>
      <c r="K207" s="308"/>
      <c r="L207" s="308"/>
      <c r="M207" s="309" t="s">
        <v>211</v>
      </c>
      <c r="N207" s="309" t="s">
        <v>770</v>
      </c>
      <c r="O207" s="309" t="s">
        <v>345</v>
      </c>
      <c r="P207" s="309" t="s">
        <v>346</v>
      </c>
      <c r="Q207" s="309" t="s">
        <v>347</v>
      </c>
      <c r="R207" s="308"/>
      <c r="S207" s="310"/>
      <c r="T207" s="308"/>
      <c r="U207" s="310"/>
    </row>
    <row r="208" spans="1:21" s="282" customFormat="1" ht="69" hidden="1" x14ac:dyDescent="0.3">
      <c r="A208" s="305">
        <f t="shared" si="3"/>
        <v>205</v>
      </c>
      <c r="B208" s="305">
        <v>2</v>
      </c>
      <c r="C208" s="306" t="s">
        <v>538</v>
      </c>
      <c r="D208" s="306" t="s">
        <v>622</v>
      </c>
      <c r="E208" s="307" t="s">
        <v>571</v>
      </c>
      <c r="F208" s="308"/>
      <c r="G208" s="308"/>
      <c r="H208" s="308"/>
      <c r="I208" s="308"/>
      <c r="J208" s="308"/>
      <c r="K208" s="308"/>
      <c r="L208" s="308"/>
      <c r="M208" s="309" t="s">
        <v>211</v>
      </c>
      <c r="N208" s="309" t="s">
        <v>826</v>
      </c>
      <c r="O208" s="309" t="s">
        <v>515</v>
      </c>
      <c r="P208" s="309" t="s">
        <v>516</v>
      </c>
      <c r="Q208" s="309" t="s">
        <v>517</v>
      </c>
      <c r="R208" s="308"/>
      <c r="S208" s="310"/>
      <c r="T208" s="308"/>
      <c r="U208" s="310"/>
    </row>
    <row r="209" spans="1:21" s="282" customFormat="1" ht="69" hidden="1" x14ac:dyDescent="0.3">
      <c r="A209" s="305">
        <f t="shared" si="3"/>
        <v>206</v>
      </c>
      <c r="B209" s="305">
        <v>2</v>
      </c>
      <c r="C209" s="306" t="s">
        <v>538</v>
      </c>
      <c r="D209" s="306" t="s">
        <v>539</v>
      </c>
      <c r="E209" s="307" t="s">
        <v>572</v>
      </c>
      <c r="F209" s="308"/>
      <c r="G209" s="308"/>
      <c r="H209" s="308"/>
      <c r="I209" s="308"/>
      <c r="J209" s="308"/>
      <c r="K209" s="308"/>
      <c r="L209" s="308"/>
      <c r="M209" s="309" t="s">
        <v>211</v>
      </c>
      <c r="N209" s="309" t="s">
        <v>826</v>
      </c>
      <c r="O209" s="309" t="s">
        <v>515</v>
      </c>
      <c r="P209" s="309" t="s">
        <v>516</v>
      </c>
      <c r="Q209" s="309" t="s">
        <v>517</v>
      </c>
      <c r="R209" s="308"/>
      <c r="S209" s="310"/>
      <c r="T209" s="308"/>
      <c r="U209" s="310"/>
    </row>
    <row r="210" spans="1:21" s="282" customFormat="1" ht="41.4" hidden="1" x14ac:dyDescent="0.3">
      <c r="A210" s="305">
        <f t="shared" si="3"/>
        <v>207</v>
      </c>
      <c r="B210" s="305">
        <v>2</v>
      </c>
      <c r="C210" s="306" t="s">
        <v>538</v>
      </c>
      <c r="D210" s="306" t="s">
        <v>539</v>
      </c>
      <c r="E210" s="307" t="s">
        <v>474</v>
      </c>
      <c r="F210" s="308"/>
      <c r="G210" s="308"/>
      <c r="H210" s="308"/>
      <c r="I210" s="308"/>
      <c r="J210" s="308"/>
      <c r="K210" s="308"/>
      <c r="L210" s="308"/>
      <c r="M210" s="309"/>
      <c r="N210" s="309"/>
      <c r="O210" s="309"/>
      <c r="P210" s="309"/>
      <c r="Q210" s="309"/>
      <c r="R210" s="308"/>
      <c r="S210" s="310"/>
      <c r="T210" s="308"/>
      <c r="U210" s="310"/>
    </row>
    <row r="211" spans="1:21" s="282" customFormat="1" ht="41.4" hidden="1" x14ac:dyDescent="0.3">
      <c r="A211" s="305">
        <f t="shared" si="3"/>
        <v>208</v>
      </c>
      <c r="B211" s="305">
        <v>2</v>
      </c>
      <c r="C211" s="306" t="s">
        <v>538</v>
      </c>
      <c r="D211" s="306" t="s">
        <v>622</v>
      </c>
      <c r="E211" s="307" t="s">
        <v>568</v>
      </c>
      <c r="F211" s="308"/>
      <c r="G211" s="308"/>
      <c r="H211" s="308"/>
      <c r="I211" s="308"/>
      <c r="J211" s="308"/>
      <c r="K211" s="308"/>
      <c r="L211" s="308"/>
      <c r="M211" s="309" t="s">
        <v>211</v>
      </c>
      <c r="N211" s="309" t="s">
        <v>827</v>
      </c>
      <c r="O211" s="309" t="s">
        <v>518</v>
      </c>
      <c r="P211" s="309" t="s">
        <v>519</v>
      </c>
      <c r="Q211" s="309" t="s">
        <v>520</v>
      </c>
      <c r="R211" s="308"/>
      <c r="S211" s="310"/>
      <c r="T211" s="308"/>
      <c r="U211" s="310"/>
    </row>
    <row r="212" spans="1:21" s="281" customFormat="1" ht="69" hidden="1" x14ac:dyDescent="0.3">
      <c r="A212" s="305">
        <f t="shared" si="3"/>
        <v>209</v>
      </c>
      <c r="B212" s="305">
        <v>3</v>
      </c>
      <c r="C212" s="306" t="s">
        <v>538</v>
      </c>
      <c r="D212" s="306" t="s">
        <v>622</v>
      </c>
      <c r="E212" s="307" t="s">
        <v>679</v>
      </c>
      <c r="F212" s="312"/>
      <c r="G212" s="318"/>
      <c r="H212" s="312"/>
      <c r="I212" s="312"/>
      <c r="J212" s="312"/>
      <c r="K212" s="312"/>
      <c r="L212" s="312"/>
      <c r="M212" s="309" t="s">
        <v>211</v>
      </c>
      <c r="N212" s="309" t="s">
        <v>770</v>
      </c>
      <c r="O212" s="309" t="s">
        <v>580</v>
      </c>
      <c r="P212" s="309" t="s">
        <v>678</v>
      </c>
      <c r="Q212" s="309" t="s">
        <v>680</v>
      </c>
      <c r="R212" s="308"/>
      <c r="S212" s="310"/>
      <c r="T212" s="308"/>
      <c r="U212" s="310"/>
    </row>
    <row r="213" spans="1:21" s="282" customFormat="1" ht="55.2" hidden="1" x14ac:dyDescent="0.3">
      <c r="A213" s="305">
        <f t="shared" si="3"/>
        <v>210</v>
      </c>
      <c r="B213" s="305">
        <v>2</v>
      </c>
      <c r="C213" s="306" t="s">
        <v>538</v>
      </c>
      <c r="D213" s="306" t="s">
        <v>622</v>
      </c>
      <c r="E213" s="307" t="s">
        <v>569</v>
      </c>
      <c r="F213" s="308"/>
      <c r="G213" s="308"/>
      <c r="H213" s="308"/>
      <c r="I213" s="308"/>
      <c r="J213" s="308"/>
      <c r="K213" s="308"/>
      <c r="L213" s="308"/>
      <c r="M213" s="309" t="s">
        <v>211</v>
      </c>
      <c r="N213" s="309" t="s">
        <v>521</v>
      </c>
      <c r="O213" s="309" t="s">
        <v>522</v>
      </c>
      <c r="P213" s="311" t="s">
        <v>828</v>
      </c>
      <c r="Q213" s="309" t="s">
        <v>523</v>
      </c>
      <c r="R213" s="308"/>
      <c r="S213" s="310"/>
      <c r="T213" s="308"/>
      <c r="U213" s="310"/>
    </row>
    <row r="214" spans="1:21" s="282" customFormat="1" ht="55.2" hidden="1" x14ac:dyDescent="0.3">
      <c r="A214" s="305">
        <f t="shared" si="3"/>
        <v>211</v>
      </c>
      <c r="B214" s="305">
        <v>2</v>
      </c>
      <c r="C214" s="306" t="s">
        <v>538</v>
      </c>
      <c r="D214" s="306" t="s">
        <v>539</v>
      </c>
      <c r="E214" s="307" t="s">
        <v>570</v>
      </c>
      <c r="F214" s="308"/>
      <c r="G214" s="308"/>
      <c r="H214" s="308"/>
      <c r="I214" s="308"/>
      <c r="J214" s="308"/>
      <c r="K214" s="308"/>
      <c r="L214" s="308"/>
      <c r="M214" s="309" t="s">
        <v>211</v>
      </c>
      <c r="N214" s="309" t="s">
        <v>521</v>
      </c>
      <c r="O214" s="309" t="s">
        <v>522</v>
      </c>
      <c r="P214" s="311" t="s">
        <v>828</v>
      </c>
      <c r="Q214" s="309" t="s">
        <v>523</v>
      </c>
      <c r="R214" s="308"/>
      <c r="S214" s="310"/>
      <c r="T214" s="308"/>
      <c r="U214" s="310"/>
    </row>
    <row r="215" spans="1:21" s="282" customFormat="1" ht="41.4" hidden="1" x14ac:dyDescent="0.3">
      <c r="A215" s="305">
        <f t="shared" si="3"/>
        <v>212</v>
      </c>
      <c r="B215" s="305">
        <v>2</v>
      </c>
      <c r="C215" s="306" t="s">
        <v>538</v>
      </c>
      <c r="D215" s="306" t="s">
        <v>539</v>
      </c>
      <c r="E215" s="307" t="s">
        <v>474</v>
      </c>
      <c r="F215" s="308"/>
      <c r="G215" s="308"/>
      <c r="H215" s="308"/>
      <c r="I215" s="308"/>
      <c r="J215" s="308"/>
      <c r="K215" s="308"/>
      <c r="L215" s="308"/>
      <c r="M215" s="309"/>
      <c r="N215" s="309"/>
      <c r="O215" s="309"/>
      <c r="P215" s="309"/>
      <c r="Q215" s="309"/>
      <c r="R215" s="308"/>
      <c r="S215" s="310"/>
      <c r="T215" s="308"/>
      <c r="U215" s="310"/>
    </row>
    <row r="216" spans="1:21" x14ac:dyDescent="0.3">
      <c r="E216" s="288"/>
      <c r="F216" s="289"/>
      <c r="G216" s="289"/>
      <c r="H216" s="289"/>
      <c r="I216" s="289"/>
      <c r="J216" s="289"/>
      <c r="K216" s="289"/>
      <c r="L216" s="289"/>
      <c r="M216" s="290"/>
      <c r="N216" s="290"/>
      <c r="O216" s="290"/>
      <c r="P216" s="290"/>
      <c r="Q216" s="290"/>
    </row>
    <row r="217" spans="1:21" x14ac:dyDescent="0.3">
      <c r="E217" s="288"/>
      <c r="F217" s="289"/>
      <c r="G217" s="289"/>
      <c r="H217" s="289"/>
      <c r="I217" s="289"/>
      <c r="J217" s="289"/>
      <c r="K217" s="289"/>
      <c r="L217" s="289"/>
      <c r="M217" s="290"/>
      <c r="N217" s="290"/>
      <c r="O217" s="290"/>
      <c r="P217" s="290"/>
      <c r="Q217" s="290"/>
    </row>
    <row r="218" spans="1:21" x14ac:dyDescent="0.3">
      <c r="E218" s="288"/>
      <c r="F218" s="289"/>
      <c r="G218" s="289"/>
      <c r="H218" s="289"/>
      <c r="I218" s="289"/>
      <c r="J218" s="289"/>
      <c r="K218" s="289"/>
      <c r="L218" s="289"/>
      <c r="M218" s="290"/>
      <c r="N218" s="290"/>
      <c r="O218" s="290"/>
      <c r="P218" s="290"/>
      <c r="Q218" s="290"/>
    </row>
    <row r="219" spans="1:21" x14ac:dyDescent="0.3">
      <c r="E219" s="288"/>
      <c r="F219" s="289"/>
      <c r="G219" s="289"/>
      <c r="H219" s="289"/>
      <c r="I219" s="289"/>
      <c r="J219" s="289"/>
      <c r="K219" s="289"/>
      <c r="L219" s="289"/>
      <c r="M219" s="290"/>
      <c r="N219" s="290"/>
      <c r="O219" s="290"/>
      <c r="P219" s="290"/>
      <c r="Q219" s="290"/>
    </row>
    <row r="220" spans="1:21" x14ac:dyDescent="0.3">
      <c r="E220" s="288"/>
      <c r="F220" s="289"/>
      <c r="G220" s="289"/>
      <c r="H220" s="289"/>
      <c r="I220" s="289"/>
      <c r="J220" s="289"/>
      <c r="K220" s="289"/>
      <c r="L220" s="289"/>
      <c r="M220" s="290"/>
      <c r="N220" s="290"/>
      <c r="O220" s="290"/>
      <c r="P220" s="290"/>
      <c r="Q220" s="290"/>
    </row>
    <row r="221" spans="1:21" x14ac:dyDescent="0.3">
      <c r="E221" s="288"/>
      <c r="F221" s="289"/>
      <c r="G221" s="289"/>
      <c r="H221" s="289"/>
      <c r="I221" s="289"/>
      <c r="J221" s="289"/>
      <c r="K221" s="289"/>
      <c r="L221" s="289"/>
      <c r="M221" s="290"/>
      <c r="N221" s="290"/>
      <c r="O221" s="290"/>
      <c r="P221" s="290"/>
      <c r="Q221" s="290"/>
    </row>
    <row r="222" spans="1:21" x14ac:dyDescent="0.3">
      <c r="E222" s="288"/>
      <c r="F222" s="289"/>
      <c r="G222" s="289"/>
      <c r="H222" s="289"/>
      <c r="I222" s="289"/>
      <c r="J222" s="289"/>
      <c r="K222" s="289"/>
      <c r="L222" s="289"/>
      <c r="M222" s="290"/>
      <c r="N222" s="290"/>
      <c r="O222" s="290"/>
      <c r="P222" s="290"/>
      <c r="Q222" s="290"/>
    </row>
    <row r="223" spans="1:21" x14ac:dyDescent="0.3">
      <c r="E223" s="288"/>
      <c r="F223" s="289"/>
      <c r="G223" s="289"/>
      <c r="H223" s="289"/>
      <c r="I223" s="289"/>
      <c r="J223" s="289"/>
      <c r="K223" s="289"/>
      <c r="L223" s="289"/>
      <c r="M223" s="290"/>
      <c r="N223" s="290"/>
      <c r="O223" s="290"/>
      <c r="P223" s="290"/>
      <c r="Q223" s="290"/>
    </row>
    <row r="224" spans="1:21" x14ac:dyDescent="0.3">
      <c r="E224" s="288"/>
      <c r="F224" s="289"/>
      <c r="G224" s="289"/>
      <c r="H224" s="289"/>
      <c r="I224" s="289"/>
      <c r="J224" s="289"/>
      <c r="K224" s="289"/>
      <c r="L224" s="289"/>
      <c r="M224" s="290"/>
      <c r="N224" s="290"/>
      <c r="O224" s="290"/>
      <c r="P224" s="290"/>
      <c r="Q224" s="290"/>
    </row>
    <row r="225" spans="5:17" x14ac:dyDescent="0.3">
      <c r="E225" s="288"/>
      <c r="F225" s="289"/>
      <c r="G225" s="289"/>
      <c r="H225" s="289"/>
      <c r="I225" s="289"/>
      <c r="J225" s="289"/>
      <c r="K225" s="289"/>
      <c r="L225" s="289"/>
      <c r="M225" s="290"/>
      <c r="N225" s="290"/>
      <c r="O225" s="290"/>
      <c r="P225" s="290"/>
      <c r="Q225" s="290"/>
    </row>
    <row r="226" spans="5:17" x14ac:dyDescent="0.3">
      <c r="E226" s="288"/>
      <c r="F226" s="289"/>
      <c r="G226" s="289"/>
      <c r="H226" s="289"/>
      <c r="I226" s="289"/>
      <c r="J226" s="289"/>
      <c r="K226" s="289"/>
      <c r="L226" s="289"/>
      <c r="M226" s="290"/>
      <c r="N226" s="290"/>
      <c r="O226" s="290"/>
      <c r="P226" s="290"/>
      <c r="Q226" s="290"/>
    </row>
    <row r="227" spans="5:17" x14ac:dyDescent="0.3">
      <c r="E227" s="288"/>
      <c r="F227" s="289"/>
      <c r="G227" s="289"/>
      <c r="H227" s="289"/>
      <c r="I227" s="289"/>
      <c r="J227" s="289"/>
      <c r="K227" s="289"/>
      <c r="L227" s="289"/>
      <c r="M227" s="290"/>
      <c r="N227" s="290"/>
      <c r="O227" s="290"/>
      <c r="P227" s="290"/>
      <c r="Q227" s="290"/>
    </row>
    <row r="228" spans="5:17" x14ac:dyDescent="0.3">
      <c r="E228" s="288"/>
      <c r="F228" s="289"/>
      <c r="G228" s="289"/>
      <c r="H228" s="289"/>
      <c r="I228" s="289"/>
      <c r="J228" s="289"/>
      <c r="K228" s="289"/>
      <c r="L228" s="289"/>
      <c r="M228" s="290"/>
      <c r="N228" s="290"/>
      <c r="O228" s="290"/>
      <c r="P228" s="290"/>
      <c r="Q228" s="290"/>
    </row>
    <row r="229" spans="5:17" x14ac:dyDescent="0.3">
      <c r="E229" s="288"/>
      <c r="F229" s="289"/>
      <c r="G229" s="289"/>
      <c r="H229" s="289"/>
      <c r="I229" s="289"/>
      <c r="J229" s="289"/>
      <c r="K229" s="289"/>
      <c r="L229" s="289"/>
      <c r="M229" s="290"/>
      <c r="N229" s="290"/>
      <c r="O229" s="290"/>
      <c r="P229" s="290"/>
      <c r="Q229" s="290"/>
    </row>
    <row r="230" spans="5:17" x14ac:dyDescent="0.3">
      <c r="E230" s="288"/>
      <c r="F230" s="289"/>
      <c r="G230" s="289"/>
      <c r="H230" s="289"/>
      <c r="I230" s="289"/>
      <c r="J230" s="289"/>
      <c r="K230" s="289"/>
      <c r="L230" s="289"/>
      <c r="M230" s="290"/>
      <c r="N230" s="290"/>
      <c r="O230" s="290"/>
      <c r="P230" s="290"/>
      <c r="Q230" s="290"/>
    </row>
    <row r="231" spans="5:17" x14ac:dyDescent="0.3">
      <c r="E231" s="288"/>
      <c r="F231" s="289"/>
      <c r="G231" s="289"/>
      <c r="H231" s="289"/>
      <c r="I231" s="289"/>
      <c r="J231" s="289"/>
      <c r="K231" s="289"/>
      <c r="L231" s="289"/>
      <c r="M231" s="290"/>
      <c r="N231" s="290"/>
      <c r="O231" s="290"/>
      <c r="P231" s="290"/>
      <c r="Q231" s="290"/>
    </row>
    <row r="232" spans="5:17" x14ac:dyDescent="0.3">
      <c r="E232" s="288"/>
      <c r="F232" s="289"/>
      <c r="G232" s="289"/>
      <c r="H232" s="289"/>
      <c r="I232" s="289"/>
      <c r="J232" s="289"/>
      <c r="K232" s="289"/>
      <c r="L232" s="289"/>
      <c r="M232" s="290"/>
      <c r="N232" s="290"/>
      <c r="O232" s="290"/>
      <c r="P232" s="290"/>
      <c r="Q232" s="290"/>
    </row>
    <row r="233" spans="5:17" x14ac:dyDescent="0.3">
      <c r="E233" s="288"/>
      <c r="F233" s="289"/>
      <c r="G233" s="289"/>
      <c r="H233" s="289"/>
      <c r="I233" s="289"/>
      <c r="J233" s="289"/>
      <c r="K233" s="289"/>
      <c r="L233" s="289"/>
      <c r="M233" s="290"/>
      <c r="N233" s="290"/>
      <c r="O233" s="290"/>
      <c r="P233" s="290"/>
      <c r="Q233" s="290"/>
    </row>
    <row r="234" spans="5:17" x14ac:dyDescent="0.3">
      <c r="E234" s="288"/>
      <c r="F234" s="289"/>
      <c r="G234" s="289"/>
      <c r="H234" s="289"/>
      <c r="I234" s="289"/>
      <c r="J234" s="289"/>
      <c r="K234" s="289"/>
      <c r="L234" s="289"/>
      <c r="M234" s="290"/>
      <c r="N234" s="290"/>
      <c r="O234" s="290"/>
      <c r="P234" s="290"/>
      <c r="Q234" s="290"/>
    </row>
    <row r="235" spans="5:17" x14ac:dyDescent="0.3">
      <c r="E235" s="288"/>
      <c r="F235" s="289"/>
      <c r="G235" s="289"/>
      <c r="H235" s="289"/>
      <c r="I235" s="289"/>
      <c r="J235" s="289"/>
      <c r="K235" s="289"/>
      <c r="L235" s="289"/>
      <c r="M235" s="290"/>
      <c r="N235" s="290"/>
      <c r="O235" s="290"/>
      <c r="P235" s="290"/>
      <c r="Q235" s="290"/>
    </row>
    <row r="236" spans="5:17" x14ac:dyDescent="0.3">
      <c r="E236" s="288"/>
      <c r="F236" s="289"/>
      <c r="G236" s="289"/>
      <c r="H236" s="289"/>
      <c r="I236" s="289"/>
      <c r="J236" s="289"/>
      <c r="K236" s="289"/>
      <c r="L236" s="289"/>
      <c r="M236" s="290"/>
      <c r="N236" s="290"/>
      <c r="O236" s="290"/>
      <c r="P236" s="290"/>
      <c r="Q236" s="290"/>
    </row>
    <row r="237" spans="5:17" x14ac:dyDescent="0.3">
      <c r="E237" s="288"/>
      <c r="F237" s="289"/>
      <c r="G237" s="289"/>
      <c r="H237" s="289"/>
      <c r="I237" s="289"/>
      <c r="J237" s="289"/>
      <c r="K237" s="289"/>
      <c r="L237" s="289"/>
      <c r="M237" s="290"/>
      <c r="N237" s="290"/>
      <c r="O237" s="290"/>
      <c r="P237" s="290"/>
      <c r="Q237" s="290"/>
    </row>
    <row r="238" spans="5:17" x14ac:dyDescent="0.3">
      <c r="E238" s="288"/>
      <c r="F238" s="289"/>
      <c r="G238" s="289"/>
      <c r="H238" s="289"/>
      <c r="I238" s="289"/>
      <c r="J238" s="289"/>
      <c r="K238" s="289"/>
      <c r="L238" s="289"/>
      <c r="M238" s="290"/>
      <c r="N238" s="290"/>
      <c r="O238" s="290"/>
      <c r="P238" s="290"/>
      <c r="Q238" s="290"/>
    </row>
    <row r="239" spans="5:17" x14ac:dyDescent="0.3">
      <c r="E239" s="288"/>
      <c r="F239" s="289"/>
      <c r="G239" s="289"/>
      <c r="H239" s="289"/>
      <c r="I239" s="289"/>
      <c r="J239" s="289"/>
      <c r="K239" s="289"/>
      <c r="L239" s="289"/>
      <c r="M239" s="290"/>
      <c r="N239" s="290"/>
      <c r="O239" s="290"/>
      <c r="P239" s="290"/>
      <c r="Q239" s="290"/>
    </row>
    <row r="240" spans="5:17" x14ac:dyDescent="0.3">
      <c r="E240" s="288"/>
      <c r="F240" s="289"/>
      <c r="G240" s="289"/>
      <c r="H240" s="289"/>
      <c r="I240" s="289"/>
      <c r="J240" s="289"/>
      <c r="K240" s="289"/>
      <c r="L240" s="289"/>
      <c r="M240" s="290"/>
      <c r="N240" s="290"/>
      <c r="O240" s="290"/>
      <c r="P240" s="290"/>
      <c r="Q240" s="290"/>
    </row>
    <row r="241" spans="5:17" x14ac:dyDescent="0.3">
      <c r="E241" s="288"/>
      <c r="F241" s="289"/>
      <c r="G241" s="289"/>
      <c r="H241" s="289"/>
      <c r="I241" s="289"/>
      <c r="J241" s="289"/>
      <c r="K241" s="289"/>
      <c r="L241" s="289"/>
      <c r="M241" s="290"/>
      <c r="N241" s="290"/>
      <c r="O241" s="290"/>
      <c r="P241" s="290"/>
      <c r="Q241" s="290"/>
    </row>
    <row r="242" spans="5:17" x14ac:dyDescent="0.3">
      <c r="E242" s="288"/>
      <c r="F242" s="289"/>
      <c r="G242" s="289"/>
      <c r="H242" s="289"/>
      <c r="I242" s="289"/>
      <c r="J242" s="289"/>
      <c r="K242" s="289"/>
      <c r="L242" s="289"/>
      <c r="M242" s="290"/>
      <c r="N242" s="290"/>
      <c r="O242" s="290"/>
      <c r="P242" s="290"/>
      <c r="Q242" s="290"/>
    </row>
    <row r="243" spans="5:17" x14ac:dyDescent="0.3">
      <c r="E243" s="288"/>
      <c r="F243" s="289"/>
      <c r="G243" s="289"/>
      <c r="H243" s="289"/>
      <c r="I243" s="289"/>
      <c r="J243" s="289"/>
      <c r="K243" s="289"/>
      <c r="L243" s="289"/>
      <c r="M243" s="290"/>
      <c r="N243" s="290"/>
      <c r="O243" s="290"/>
      <c r="P243" s="290"/>
      <c r="Q243" s="290"/>
    </row>
    <row r="244" spans="5:17" x14ac:dyDescent="0.3">
      <c r="E244" s="288"/>
      <c r="F244" s="289"/>
      <c r="G244" s="289"/>
      <c r="H244" s="289"/>
      <c r="I244" s="289"/>
      <c r="J244" s="289"/>
      <c r="K244" s="289"/>
      <c r="L244" s="289"/>
      <c r="M244" s="290"/>
      <c r="N244" s="290"/>
      <c r="O244" s="290"/>
      <c r="P244" s="290"/>
      <c r="Q244" s="290"/>
    </row>
    <row r="245" spans="5:17" x14ac:dyDescent="0.3">
      <c r="E245" s="288"/>
      <c r="F245" s="289"/>
      <c r="G245" s="289"/>
      <c r="H245" s="289"/>
      <c r="I245" s="289"/>
      <c r="J245" s="289"/>
      <c r="K245" s="289"/>
      <c r="L245" s="289"/>
      <c r="M245" s="290"/>
      <c r="N245" s="290"/>
      <c r="O245" s="290"/>
      <c r="P245" s="290"/>
      <c r="Q245" s="290"/>
    </row>
    <row r="246" spans="5:17" x14ac:dyDescent="0.3">
      <c r="E246" s="288"/>
      <c r="F246" s="289"/>
      <c r="G246" s="289"/>
      <c r="H246" s="289"/>
      <c r="I246" s="289"/>
      <c r="J246" s="289"/>
      <c r="K246" s="289"/>
      <c r="L246" s="289"/>
      <c r="M246" s="290"/>
      <c r="N246" s="290"/>
      <c r="O246" s="290"/>
      <c r="P246" s="290"/>
      <c r="Q246" s="290"/>
    </row>
    <row r="247" spans="5:17" x14ac:dyDescent="0.3">
      <c r="E247" s="288"/>
      <c r="F247" s="289"/>
      <c r="G247" s="289"/>
      <c r="H247" s="289"/>
      <c r="I247" s="289"/>
      <c r="J247" s="289"/>
      <c r="K247" s="289"/>
      <c r="L247" s="289"/>
      <c r="M247" s="290"/>
      <c r="N247" s="290"/>
      <c r="O247" s="290"/>
      <c r="P247" s="290"/>
      <c r="Q247" s="290"/>
    </row>
    <row r="248" spans="5:17" x14ac:dyDescent="0.3">
      <c r="E248" s="288"/>
      <c r="F248" s="289"/>
      <c r="G248" s="289"/>
      <c r="H248" s="289"/>
      <c r="I248" s="289"/>
      <c r="J248" s="289"/>
      <c r="K248" s="289"/>
      <c r="L248" s="289"/>
      <c r="M248" s="290"/>
      <c r="N248" s="290"/>
      <c r="O248" s="290"/>
      <c r="P248" s="290"/>
      <c r="Q248" s="290"/>
    </row>
    <row r="249" spans="5:17" x14ac:dyDescent="0.3">
      <c r="E249" s="288"/>
      <c r="F249" s="289"/>
      <c r="G249" s="289"/>
      <c r="H249" s="289"/>
      <c r="I249" s="289"/>
      <c r="J249" s="289"/>
      <c r="K249" s="289"/>
      <c r="L249" s="289"/>
      <c r="M249" s="290"/>
      <c r="N249" s="290"/>
      <c r="O249" s="290"/>
      <c r="P249" s="290"/>
      <c r="Q249" s="290"/>
    </row>
    <row r="250" spans="5:17" x14ac:dyDescent="0.3">
      <c r="E250" s="288"/>
      <c r="F250" s="289"/>
      <c r="G250" s="289"/>
      <c r="H250" s="289"/>
      <c r="I250" s="289"/>
      <c r="J250" s="289"/>
      <c r="K250" s="289"/>
      <c r="L250" s="289"/>
      <c r="M250" s="290"/>
      <c r="N250" s="290"/>
      <c r="O250" s="290"/>
      <c r="P250" s="290"/>
      <c r="Q250" s="290"/>
    </row>
    <row r="251" spans="5:17" x14ac:dyDescent="0.3">
      <c r="E251" s="288"/>
      <c r="F251" s="289"/>
      <c r="G251" s="289"/>
      <c r="H251" s="289"/>
      <c r="I251" s="289"/>
      <c r="J251" s="289"/>
      <c r="K251" s="289"/>
      <c r="L251" s="289"/>
      <c r="M251" s="290"/>
      <c r="N251" s="290"/>
      <c r="O251" s="290"/>
      <c r="P251" s="290"/>
      <c r="Q251" s="290"/>
    </row>
    <row r="252" spans="5:17" x14ac:dyDescent="0.3">
      <c r="E252" s="288"/>
      <c r="F252" s="289"/>
      <c r="G252" s="289"/>
      <c r="H252" s="289"/>
      <c r="I252" s="289"/>
      <c r="J252" s="289"/>
      <c r="K252" s="289"/>
      <c r="L252" s="289"/>
      <c r="M252" s="290"/>
      <c r="N252" s="290"/>
      <c r="O252" s="290"/>
      <c r="P252" s="290"/>
      <c r="Q252" s="290"/>
    </row>
    <row r="253" spans="5:17" x14ac:dyDescent="0.3">
      <c r="E253" s="288"/>
      <c r="F253" s="289"/>
      <c r="G253" s="289"/>
      <c r="H253" s="289"/>
      <c r="I253" s="289"/>
      <c r="J253" s="289"/>
      <c r="K253" s="289"/>
      <c r="L253" s="289"/>
      <c r="M253" s="290"/>
      <c r="N253" s="290"/>
      <c r="O253" s="290"/>
      <c r="P253" s="290"/>
      <c r="Q253" s="290"/>
    </row>
    <row r="254" spans="5:17" x14ac:dyDescent="0.3">
      <c r="E254" s="288"/>
      <c r="F254" s="289"/>
      <c r="G254" s="289"/>
      <c r="H254" s="289"/>
      <c r="I254" s="289"/>
      <c r="J254" s="289"/>
      <c r="K254" s="289"/>
      <c r="L254" s="289"/>
      <c r="M254" s="290"/>
      <c r="N254" s="290"/>
      <c r="O254" s="290"/>
      <c r="P254" s="290"/>
      <c r="Q254" s="290"/>
    </row>
    <row r="255" spans="5:17" x14ac:dyDescent="0.3">
      <c r="E255" s="288"/>
      <c r="F255" s="289"/>
      <c r="G255" s="289"/>
      <c r="H255" s="289"/>
      <c r="I255" s="289"/>
      <c r="J255" s="289"/>
      <c r="K255" s="289"/>
      <c r="L255" s="289"/>
      <c r="M255" s="290"/>
      <c r="N255" s="290"/>
      <c r="O255" s="290"/>
      <c r="P255" s="290"/>
      <c r="Q255" s="290"/>
    </row>
    <row r="256" spans="5:17" x14ac:dyDescent="0.3">
      <c r="E256" s="288"/>
      <c r="F256" s="289"/>
      <c r="G256" s="289"/>
      <c r="H256" s="289"/>
      <c r="I256" s="289"/>
      <c r="J256" s="289"/>
      <c r="K256" s="289"/>
      <c r="L256" s="289"/>
      <c r="M256" s="290"/>
      <c r="N256" s="290"/>
      <c r="O256" s="290"/>
      <c r="P256" s="290"/>
      <c r="Q256" s="290"/>
    </row>
    <row r="257" spans="5:17" x14ac:dyDescent="0.3">
      <c r="E257" s="288"/>
      <c r="F257" s="289"/>
      <c r="G257" s="289"/>
      <c r="H257" s="289"/>
      <c r="I257" s="289"/>
      <c r="J257" s="289"/>
      <c r="K257" s="289"/>
      <c r="L257" s="289"/>
      <c r="M257" s="290"/>
      <c r="N257" s="290"/>
      <c r="O257" s="290"/>
      <c r="P257" s="290"/>
      <c r="Q257" s="290"/>
    </row>
    <row r="258" spans="5:17" x14ac:dyDescent="0.3">
      <c r="E258" s="288"/>
      <c r="F258" s="289"/>
      <c r="G258" s="289"/>
      <c r="H258" s="289"/>
      <c r="I258" s="289"/>
      <c r="J258" s="289"/>
      <c r="K258" s="289"/>
      <c r="L258" s="289"/>
      <c r="M258" s="290"/>
      <c r="N258" s="290"/>
      <c r="O258" s="290"/>
      <c r="P258" s="290"/>
      <c r="Q258" s="290"/>
    </row>
    <row r="259" spans="5:17" x14ac:dyDescent="0.3">
      <c r="E259" s="288"/>
      <c r="F259" s="289"/>
      <c r="G259" s="289"/>
      <c r="H259" s="289"/>
      <c r="I259" s="289"/>
      <c r="J259" s="289"/>
      <c r="K259" s="289"/>
      <c r="L259" s="289"/>
      <c r="M259" s="290"/>
      <c r="N259" s="290"/>
      <c r="O259" s="290"/>
      <c r="P259" s="290"/>
      <c r="Q259" s="290"/>
    </row>
    <row r="260" spans="5:17" x14ac:dyDescent="0.3">
      <c r="E260" s="288"/>
      <c r="F260" s="289"/>
      <c r="G260" s="289"/>
      <c r="H260" s="289"/>
      <c r="I260" s="289"/>
      <c r="J260" s="289"/>
      <c r="K260" s="289"/>
      <c r="L260" s="289"/>
      <c r="M260" s="290"/>
      <c r="N260" s="290"/>
      <c r="O260" s="290"/>
      <c r="P260" s="290"/>
      <c r="Q260" s="290"/>
    </row>
    <row r="261" spans="5:17" x14ac:dyDescent="0.3">
      <c r="E261" s="288"/>
      <c r="F261" s="289"/>
      <c r="G261" s="289"/>
      <c r="H261" s="289"/>
      <c r="I261" s="289"/>
      <c r="J261" s="289"/>
      <c r="K261" s="289"/>
      <c r="L261" s="289"/>
      <c r="M261" s="290"/>
      <c r="N261" s="290"/>
      <c r="O261" s="290"/>
      <c r="P261" s="290"/>
      <c r="Q261" s="290"/>
    </row>
    <row r="262" spans="5:17" x14ac:dyDescent="0.3">
      <c r="E262" s="288"/>
      <c r="F262" s="289"/>
      <c r="G262" s="289"/>
      <c r="H262" s="289"/>
      <c r="I262" s="289"/>
      <c r="J262" s="289"/>
      <c r="K262" s="289"/>
      <c r="L262" s="289"/>
      <c r="M262" s="290"/>
      <c r="N262" s="290"/>
      <c r="O262" s="290"/>
      <c r="P262" s="290"/>
      <c r="Q262" s="290"/>
    </row>
    <row r="263" spans="5:17" x14ac:dyDescent="0.3">
      <c r="E263" s="288"/>
      <c r="F263" s="289"/>
      <c r="G263" s="289"/>
      <c r="H263" s="289"/>
      <c r="I263" s="289"/>
      <c r="J263" s="289"/>
      <c r="K263" s="289"/>
      <c r="L263" s="289"/>
      <c r="M263" s="290"/>
      <c r="N263" s="290"/>
      <c r="O263" s="290"/>
      <c r="P263" s="290"/>
      <c r="Q263" s="290"/>
    </row>
    <row r="264" spans="5:17" x14ac:dyDescent="0.3">
      <c r="E264" s="288"/>
      <c r="F264" s="289"/>
      <c r="G264" s="289"/>
      <c r="H264" s="289"/>
      <c r="I264" s="289"/>
      <c r="J264" s="289"/>
      <c r="K264" s="289"/>
      <c r="L264" s="289"/>
      <c r="M264" s="290"/>
      <c r="N264" s="290"/>
      <c r="O264" s="290"/>
      <c r="P264" s="290"/>
      <c r="Q264" s="290"/>
    </row>
    <row r="265" spans="5:17" x14ac:dyDescent="0.3">
      <c r="E265" s="288"/>
      <c r="F265" s="289"/>
      <c r="G265" s="289"/>
      <c r="H265" s="289"/>
      <c r="I265" s="289"/>
      <c r="J265" s="289"/>
      <c r="K265" s="289"/>
      <c r="L265" s="289"/>
      <c r="M265" s="290"/>
      <c r="N265" s="290"/>
      <c r="O265" s="290"/>
      <c r="P265" s="290"/>
      <c r="Q265" s="290"/>
    </row>
    <row r="266" spans="5:17" x14ac:dyDescent="0.3">
      <c r="E266" s="288"/>
      <c r="F266" s="289"/>
      <c r="G266" s="289"/>
      <c r="H266" s="289"/>
      <c r="I266" s="289"/>
      <c r="J266" s="289"/>
      <c r="K266" s="289"/>
      <c r="L266" s="289"/>
      <c r="M266" s="290"/>
      <c r="N266" s="290"/>
      <c r="O266" s="290"/>
      <c r="P266" s="290"/>
      <c r="Q266" s="290"/>
    </row>
    <row r="267" spans="5:17" x14ac:dyDescent="0.3">
      <c r="E267" s="288"/>
      <c r="F267" s="289"/>
      <c r="G267" s="289"/>
      <c r="H267" s="289"/>
      <c r="I267" s="289"/>
      <c r="J267" s="289"/>
      <c r="K267" s="289"/>
      <c r="L267" s="289"/>
      <c r="M267" s="290"/>
      <c r="N267" s="290"/>
      <c r="O267" s="290"/>
      <c r="P267" s="290"/>
      <c r="Q267" s="290"/>
    </row>
    <row r="268" spans="5:17" x14ac:dyDescent="0.3">
      <c r="E268" s="288"/>
      <c r="F268" s="289"/>
      <c r="G268" s="289"/>
      <c r="H268" s="289"/>
      <c r="I268" s="289"/>
      <c r="J268" s="289"/>
      <c r="K268" s="289"/>
      <c r="L268" s="289"/>
      <c r="M268" s="290"/>
      <c r="N268" s="290"/>
      <c r="O268" s="290"/>
      <c r="P268" s="290"/>
      <c r="Q268" s="290"/>
    </row>
    <row r="269" spans="5:17" x14ac:dyDescent="0.3">
      <c r="E269" s="288"/>
      <c r="F269" s="289"/>
      <c r="G269" s="289"/>
      <c r="H269" s="289"/>
      <c r="I269" s="289"/>
      <c r="J269" s="289"/>
      <c r="K269" s="289"/>
      <c r="L269" s="289"/>
      <c r="M269" s="290"/>
      <c r="N269" s="290"/>
      <c r="O269" s="290"/>
      <c r="P269" s="290"/>
      <c r="Q269" s="290"/>
    </row>
    <row r="270" spans="5:17" x14ac:dyDescent="0.3">
      <c r="E270" s="288"/>
      <c r="F270" s="289"/>
      <c r="G270" s="289"/>
      <c r="H270" s="289"/>
      <c r="I270" s="289"/>
      <c r="J270" s="289"/>
      <c r="K270" s="289"/>
      <c r="L270" s="289"/>
      <c r="M270" s="290"/>
      <c r="N270" s="290"/>
      <c r="O270" s="290"/>
      <c r="P270" s="290"/>
      <c r="Q270" s="290"/>
    </row>
    <row r="271" spans="5:17" x14ac:dyDescent="0.3">
      <c r="E271" s="288"/>
      <c r="F271" s="289"/>
      <c r="G271" s="289"/>
      <c r="H271" s="289"/>
      <c r="I271" s="289"/>
      <c r="J271" s="289"/>
      <c r="K271" s="289"/>
      <c r="L271" s="289"/>
      <c r="M271" s="290"/>
      <c r="N271" s="290"/>
      <c r="O271" s="290"/>
      <c r="P271" s="290"/>
      <c r="Q271" s="290"/>
    </row>
    <row r="272" spans="5:17" x14ac:dyDescent="0.3">
      <c r="E272" s="288"/>
      <c r="F272" s="289"/>
      <c r="G272" s="289"/>
      <c r="H272" s="289"/>
      <c r="I272" s="289"/>
      <c r="J272" s="289"/>
      <c r="K272" s="289"/>
      <c r="L272" s="289"/>
      <c r="M272" s="290"/>
      <c r="N272" s="290"/>
      <c r="O272" s="290"/>
      <c r="P272" s="290"/>
      <c r="Q272" s="290"/>
    </row>
    <row r="273" spans="5:17" x14ac:dyDescent="0.3">
      <c r="E273" s="288"/>
      <c r="F273" s="289"/>
      <c r="G273" s="289"/>
      <c r="H273" s="289"/>
      <c r="I273" s="289"/>
      <c r="J273" s="289"/>
      <c r="K273" s="289"/>
      <c r="L273" s="289"/>
      <c r="M273" s="290"/>
      <c r="N273" s="290"/>
      <c r="O273" s="290"/>
      <c r="P273" s="290"/>
      <c r="Q273" s="290"/>
    </row>
    <row r="274" spans="5:17" x14ac:dyDescent="0.3">
      <c r="E274" s="288"/>
      <c r="F274" s="289"/>
      <c r="G274" s="289"/>
      <c r="H274" s="289"/>
      <c r="I274" s="289"/>
      <c r="J274" s="289"/>
      <c r="K274" s="289"/>
      <c r="L274" s="289"/>
      <c r="M274" s="290"/>
      <c r="N274" s="290"/>
      <c r="O274" s="290"/>
      <c r="P274" s="290"/>
      <c r="Q274" s="290"/>
    </row>
    <row r="275" spans="5:17" x14ac:dyDescent="0.3">
      <c r="E275" s="288"/>
      <c r="F275" s="289"/>
      <c r="G275" s="289"/>
      <c r="H275" s="289"/>
      <c r="I275" s="289"/>
      <c r="J275" s="289"/>
      <c r="K275" s="289"/>
      <c r="L275" s="289"/>
      <c r="M275" s="290"/>
      <c r="N275" s="290"/>
      <c r="O275" s="290"/>
      <c r="P275" s="290"/>
      <c r="Q275" s="290"/>
    </row>
    <row r="276" spans="5:17" x14ac:dyDescent="0.3">
      <c r="E276" s="288"/>
      <c r="F276" s="289"/>
      <c r="G276" s="289"/>
      <c r="H276" s="289"/>
      <c r="I276" s="289"/>
      <c r="J276" s="289"/>
      <c r="K276" s="289"/>
      <c r="L276" s="289"/>
      <c r="M276" s="290"/>
      <c r="N276" s="290"/>
      <c r="O276" s="290"/>
      <c r="P276" s="290"/>
      <c r="Q276" s="290"/>
    </row>
    <row r="277" spans="5:17" x14ac:dyDescent="0.3">
      <c r="E277" s="288"/>
      <c r="F277" s="289"/>
      <c r="G277" s="289"/>
      <c r="H277" s="289"/>
      <c r="I277" s="289"/>
      <c r="J277" s="289"/>
      <c r="K277" s="289"/>
      <c r="L277" s="289"/>
      <c r="M277" s="290"/>
      <c r="N277" s="290"/>
      <c r="O277" s="290"/>
      <c r="P277" s="290"/>
      <c r="Q277" s="290"/>
    </row>
    <row r="278" spans="5:17" x14ac:dyDescent="0.3">
      <c r="E278" s="288"/>
      <c r="F278" s="289"/>
      <c r="G278" s="289"/>
      <c r="H278" s="289"/>
      <c r="I278" s="289"/>
      <c r="J278" s="289"/>
      <c r="K278" s="289"/>
      <c r="L278" s="289"/>
      <c r="M278" s="290"/>
      <c r="N278" s="290"/>
      <c r="O278" s="290"/>
      <c r="P278" s="290"/>
      <c r="Q278" s="290"/>
    </row>
    <row r="279" spans="5:17" x14ac:dyDescent="0.3">
      <c r="E279" s="288"/>
      <c r="F279" s="289"/>
      <c r="G279" s="289"/>
      <c r="H279" s="289"/>
      <c r="I279" s="289"/>
      <c r="J279" s="289"/>
      <c r="K279" s="289"/>
      <c r="L279" s="289"/>
      <c r="M279" s="290"/>
      <c r="N279" s="290"/>
      <c r="O279" s="290"/>
      <c r="P279" s="290"/>
      <c r="Q279" s="290"/>
    </row>
    <row r="280" spans="5:17" x14ac:dyDescent="0.3">
      <c r="E280" s="288"/>
      <c r="F280" s="289"/>
      <c r="G280" s="289"/>
      <c r="H280" s="289"/>
      <c r="I280" s="289"/>
      <c r="J280" s="289"/>
      <c r="K280" s="289"/>
      <c r="L280" s="289"/>
      <c r="M280" s="290"/>
      <c r="N280" s="290"/>
      <c r="O280" s="290"/>
      <c r="P280" s="290"/>
      <c r="Q280" s="290"/>
    </row>
    <row r="281" spans="5:17" x14ac:dyDescent="0.3">
      <c r="E281" s="288"/>
      <c r="F281" s="289"/>
      <c r="G281" s="289"/>
      <c r="H281" s="289"/>
      <c r="I281" s="289"/>
      <c r="J281" s="289"/>
      <c r="K281" s="289"/>
      <c r="L281" s="289"/>
      <c r="M281" s="290"/>
      <c r="N281" s="290"/>
      <c r="O281" s="290"/>
      <c r="P281" s="290"/>
      <c r="Q281" s="290"/>
    </row>
    <row r="282" spans="5:17" x14ac:dyDescent="0.3">
      <c r="E282" s="288"/>
      <c r="F282" s="289"/>
      <c r="G282" s="289"/>
      <c r="H282" s="289"/>
      <c r="I282" s="289"/>
      <c r="J282" s="289"/>
      <c r="K282" s="289"/>
      <c r="L282" s="289"/>
      <c r="M282" s="290"/>
      <c r="N282" s="290"/>
      <c r="O282" s="290"/>
      <c r="P282" s="290"/>
      <c r="Q282" s="290"/>
    </row>
    <row r="283" spans="5:17" x14ac:dyDescent="0.3">
      <c r="E283" s="288"/>
      <c r="F283" s="289"/>
      <c r="G283" s="289"/>
      <c r="H283" s="289"/>
      <c r="I283" s="289"/>
      <c r="J283" s="289"/>
      <c r="K283" s="289"/>
      <c r="L283" s="289"/>
      <c r="M283" s="290"/>
      <c r="N283" s="290"/>
      <c r="O283" s="290"/>
      <c r="P283" s="290"/>
      <c r="Q283" s="290"/>
    </row>
    <row r="284" spans="5:17" x14ac:dyDescent="0.3">
      <c r="E284" s="288"/>
      <c r="F284" s="289"/>
      <c r="G284" s="289"/>
      <c r="H284" s="289"/>
      <c r="I284" s="289"/>
      <c r="J284" s="289"/>
      <c r="K284" s="289"/>
      <c r="L284" s="289"/>
      <c r="M284" s="290"/>
      <c r="N284" s="290"/>
      <c r="O284" s="290"/>
      <c r="P284" s="290"/>
      <c r="Q284" s="290"/>
    </row>
    <row r="285" spans="5:17" x14ac:dyDescent="0.3">
      <c r="E285" s="288"/>
      <c r="F285" s="289"/>
      <c r="G285" s="289"/>
      <c r="H285" s="289"/>
      <c r="I285" s="289"/>
      <c r="J285" s="289"/>
      <c r="K285" s="289"/>
      <c r="L285" s="289"/>
      <c r="M285" s="290"/>
      <c r="N285" s="290"/>
      <c r="O285" s="290"/>
      <c r="P285" s="290"/>
      <c r="Q285" s="290"/>
    </row>
    <row r="286" spans="5:17" x14ac:dyDescent="0.3">
      <c r="E286" s="288"/>
      <c r="F286" s="289"/>
      <c r="G286" s="289"/>
      <c r="H286" s="289"/>
      <c r="I286" s="289"/>
      <c r="J286" s="289"/>
      <c r="K286" s="289"/>
      <c r="L286" s="289"/>
      <c r="M286" s="290"/>
      <c r="N286" s="290"/>
      <c r="O286" s="290"/>
      <c r="P286" s="290"/>
      <c r="Q286" s="290"/>
    </row>
    <row r="287" spans="5:17" x14ac:dyDescent="0.3">
      <c r="E287" s="288"/>
      <c r="F287" s="289"/>
      <c r="G287" s="289"/>
      <c r="H287" s="289"/>
      <c r="I287" s="289"/>
      <c r="J287" s="289"/>
      <c r="K287" s="289"/>
      <c r="L287" s="289"/>
      <c r="M287" s="290"/>
      <c r="N287" s="290"/>
      <c r="O287" s="290"/>
      <c r="P287" s="290"/>
      <c r="Q287" s="290"/>
    </row>
    <row r="288" spans="5:17" x14ac:dyDescent="0.3">
      <c r="E288" s="288"/>
      <c r="F288" s="289"/>
      <c r="G288" s="289"/>
      <c r="H288" s="289"/>
      <c r="I288" s="289"/>
      <c r="J288" s="289"/>
      <c r="K288" s="289"/>
      <c r="L288" s="289"/>
      <c r="M288" s="290"/>
      <c r="N288" s="290"/>
      <c r="O288" s="290"/>
      <c r="P288" s="290"/>
      <c r="Q288" s="290"/>
    </row>
    <row r="289" spans="5:17" x14ac:dyDescent="0.3">
      <c r="E289" s="288"/>
      <c r="F289" s="289"/>
      <c r="G289" s="289"/>
      <c r="H289" s="289"/>
      <c r="I289" s="289"/>
      <c r="J289" s="289"/>
      <c r="K289" s="289"/>
      <c r="L289" s="289"/>
      <c r="M289" s="290"/>
      <c r="N289" s="290"/>
      <c r="O289" s="290"/>
      <c r="P289" s="290"/>
      <c r="Q289" s="290"/>
    </row>
    <row r="290" spans="5:17" x14ac:dyDescent="0.3">
      <c r="E290" s="288"/>
      <c r="F290" s="289"/>
      <c r="G290" s="289"/>
      <c r="H290" s="289"/>
      <c r="I290" s="289"/>
      <c r="J290" s="289"/>
      <c r="K290" s="289"/>
      <c r="L290" s="289"/>
      <c r="M290" s="290"/>
      <c r="N290" s="290"/>
      <c r="O290" s="290"/>
      <c r="P290" s="290"/>
      <c r="Q290" s="290"/>
    </row>
    <row r="291" spans="5:17" x14ac:dyDescent="0.3">
      <c r="E291" s="288"/>
      <c r="F291" s="289"/>
      <c r="G291" s="289"/>
      <c r="H291" s="289"/>
      <c r="I291" s="289"/>
      <c r="J291" s="289"/>
      <c r="K291" s="289"/>
      <c r="L291" s="289"/>
      <c r="M291" s="290"/>
      <c r="N291" s="290"/>
      <c r="O291" s="290"/>
      <c r="P291" s="290"/>
      <c r="Q291" s="290"/>
    </row>
    <row r="292" spans="5:17" x14ac:dyDescent="0.3">
      <c r="E292" s="288"/>
      <c r="F292" s="289"/>
      <c r="G292" s="289"/>
      <c r="H292" s="289"/>
      <c r="I292" s="289"/>
      <c r="J292" s="289"/>
      <c r="K292" s="289"/>
      <c r="L292" s="289"/>
      <c r="M292" s="290"/>
      <c r="N292" s="290"/>
      <c r="O292" s="290"/>
      <c r="P292" s="290"/>
      <c r="Q292" s="290"/>
    </row>
    <row r="293" spans="5:17" x14ac:dyDescent="0.3">
      <c r="E293" s="288"/>
      <c r="F293" s="289"/>
      <c r="G293" s="289"/>
      <c r="H293" s="289"/>
      <c r="I293" s="289"/>
      <c r="J293" s="289"/>
      <c r="K293" s="289"/>
      <c r="L293" s="289"/>
      <c r="M293" s="290"/>
      <c r="N293" s="290"/>
      <c r="O293" s="290"/>
      <c r="P293" s="290"/>
      <c r="Q293" s="290"/>
    </row>
    <row r="294" spans="5:17" x14ac:dyDescent="0.3">
      <c r="E294" s="288"/>
      <c r="F294" s="289"/>
      <c r="G294" s="289"/>
      <c r="H294" s="289"/>
      <c r="I294" s="289"/>
      <c r="J294" s="289"/>
      <c r="K294" s="289"/>
      <c r="L294" s="289"/>
      <c r="M294" s="290"/>
      <c r="N294" s="290"/>
      <c r="O294" s="290"/>
      <c r="P294" s="290"/>
      <c r="Q294" s="290"/>
    </row>
    <row r="295" spans="5:17" x14ac:dyDescent="0.3">
      <c r="E295" s="288"/>
      <c r="F295" s="289"/>
      <c r="G295" s="289"/>
      <c r="H295" s="289"/>
      <c r="I295" s="289"/>
      <c r="J295" s="289"/>
      <c r="K295" s="289"/>
      <c r="L295" s="289"/>
      <c r="M295" s="290"/>
      <c r="N295" s="290"/>
      <c r="O295" s="290"/>
      <c r="P295" s="290"/>
      <c r="Q295" s="290"/>
    </row>
    <row r="296" spans="5:17" x14ac:dyDescent="0.3">
      <c r="E296" s="288"/>
      <c r="F296" s="289"/>
      <c r="G296" s="289"/>
      <c r="H296" s="289"/>
      <c r="I296" s="289"/>
      <c r="J296" s="289"/>
      <c r="K296" s="289"/>
      <c r="L296" s="289"/>
      <c r="M296" s="290"/>
      <c r="N296" s="290"/>
      <c r="O296" s="290"/>
      <c r="P296" s="290"/>
      <c r="Q296" s="290"/>
    </row>
    <row r="297" spans="5:17" x14ac:dyDescent="0.3">
      <c r="E297" s="288"/>
      <c r="F297" s="289"/>
      <c r="G297" s="289"/>
      <c r="H297" s="289"/>
      <c r="I297" s="289"/>
      <c r="J297" s="289"/>
      <c r="K297" s="289"/>
      <c r="L297" s="289"/>
      <c r="M297" s="290"/>
      <c r="N297" s="290"/>
      <c r="O297" s="290"/>
      <c r="P297" s="290"/>
      <c r="Q297" s="290"/>
    </row>
    <row r="298" spans="5:17" x14ac:dyDescent="0.3">
      <c r="E298" s="288"/>
      <c r="F298" s="289"/>
      <c r="G298" s="289"/>
      <c r="H298" s="289"/>
      <c r="I298" s="289"/>
      <c r="J298" s="289"/>
      <c r="K298" s="289"/>
      <c r="L298" s="289"/>
      <c r="M298" s="290"/>
      <c r="N298" s="290"/>
      <c r="O298" s="290"/>
      <c r="P298" s="290"/>
      <c r="Q298" s="290"/>
    </row>
    <row r="299" spans="5:17" x14ac:dyDescent="0.3">
      <c r="E299" s="288"/>
      <c r="F299" s="289"/>
      <c r="G299" s="289"/>
      <c r="H299" s="289"/>
      <c r="I299" s="289"/>
      <c r="J299" s="289"/>
      <c r="K299" s="289"/>
      <c r="L299" s="289"/>
      <c r="M299" s="290"/>
      <c r="N299" s="290"/>
      <c r="O299" s="290"/>
      <c r="P299" s="290"/>
      <c r="Q299" s="290"/>
    </row>
    <row r="300" spans="5:17" x14ac:dyDescent="0.3">
      <c r="E300" s="288"/>
      <c r="F300" s="289"/>
      <c r="G300" s="289"/>
      <c r="H300" s="289"/>
      <c r="I300" s="289"/>
      <c r="J300" s="289"/>
      <c r="K300" s="289"/>
      <c r="L300" s="289"/>
      <c r="M300" s="290"/>
      <c r="N300" s="290"/>
      <c r="O300" s="290"/>
      <c r="P300" s="290"/>
      <c r="Q300" s="290"/>
    </row>
    <row r="301" spans="5:17" x14ac:dyDescent="0.3">
      <c r="E301" s="288"/>
      <c r="F301" s="289"/>
      <c r="G301" s="289"/>
      <c r="H301" s="289"/>
      <c r="I301" s="289"/>
      <c r="J301" s="289"/>
      <c r="K301" s="289"/>
      <c r="L301" s="289"/>
      <c r="M301" s="290"/>
      <c r="N301" s="290"/>
      <c r="O301" s="290"/>
      <c r="P301" s="290"/>
      <c r="Q301" s="290"/>
    </row>
    <row r="302" spans="5:17" x14ac:dyDescent="0.3">
      <c r="E302" s="288"/>
      <c r="F302" s="289"/>
      <c r="G302" s="289"/>
      <c r="H302" s="289"/>
      <c r="I302" s="289"/>
      <c r="J302" s="289"/>
      <c r="K302" s="289"/>
      <c r="L302" s="289"/>
      <c r="M302" s="290"/>
      <c r="N302" s="290"/>
      <c r="O302" s="290"/>
      <c r="P302" s="290"/>
      <c r="Q302" s="290"/>
    </row>
    <row r="303" spans="5:17" x14ac:dyDescent="0.3">
      <c r="E303" s="288"/>
      <c r="F303" s="289"/>
      <c r="G303" s="289"/>
      <c r="H303" s="289"/>
      <c r="I303" s="289"/>
      <c r="J303" s="289"/>
      <c r="K303" s="289"/>
      <c r="L303" s="289"/>
      <c r="M303" s="290"/>
      <c r="N303" s="290"/>
      <c r="O303" s="290"/>
      <c r="P303" s="290"/>
      <c r="Q303" s="290"/>
    </row>
    <row r="304" spans="5:17" x14ac:dyDescent="0.3">
      <c r="E304" s="288"/>
      <c r="F304" s="289"/>
      <c r="G304" s="289"/>
      <c r="H304" s="289"/>
      <c r="I304" s="289"/>
      <c r="J304" s="289"/>
      <c r="K304" s="289"/>
      <c r="L304" s="289"/>
      <c r="M304" s="290"/>
      <c r="N304" s="290"/>
      <c r="O304" s="290"/>
      <c r="P304" s="290"/>
      <c r="Q304" s="290"/>
    </row>
    <row r="305" spans="5:17" x14ac:dyDescent="0.3">
      <c r="E305" s="288"/>
      <c r="F305" s="289"/>
      <c r="G305" s="289"/>
      <c r="H305" s="289"/>
      <c r="I305" s="289"/>
      <c r="J305" s="289"/>
      <c r="K305" s="289"/>
      <c r="L305" s="289"/>
      <c r="M305" s="290"/>
      <c r="N305" s="290"/>
      <c r="O305" s="290"/>
      <c r="P305" s="290"/>
      <c r="Q305" s="290"/>
    </row>
    <row r="306" spans="5:17" x14ac:dyDescent="0.3">
      <c r="E306" s="288"/>
      <c r="F306" s="289"/>
      <c r="G306" s="289"/>
      <c r="H306" s="289"/>
      <c r="I306" s="289"/>
      <c r="J306" s="289"/>
      <c r="K306" s="289"/>
      <c r="L306" s="289"/>
      <c r="M306" s="290"/>
      <c r="N306" s="290"/>
      <c r="O306" s="290"/>
      <c r="P306" s="290"/>
      <c r="Q306" s="290"/>
    </row>
    <row r="307" spans="5:17" x14ac:dyDescent="0.3">
      <c r="E307" s="288"/>
      <c r="F307" s="289"/>
      <c r="G307" s="289"/>
      <c r="H307" s="289"/>
      <c r="I307" s="289"/>
      <c r="J307" s="289"/>
      <c r="K307" s="289"/>
      <c r="L307" s="289"/>
      <c r="M307" s="290"/>
      <c r="N307" s="290"/>
      <c r="O307" s="290"/>
      <c r="P307" s="290"/>
      <c r="Q307" s="290"/>
    </row>
    <row r="308" spans="5:17" x14ac:dyDescent="0.3">
      <c r="E308" s="288"/>
      <c r="F308" s="289"/>
      <c r="G308" s="289"/>
      <c r="H308" s="289"/>
      <c r="I308" s="289"/>
      <c r="J308" s="289"/>
      <c r="K308" s="289"/>
      <c r="L308" s="289"/>
      <c r="M308" s="290"/>
      <c r="N308" s="290"/>
      <c r="O308" s="290"/>
      <c r="P308" s="290"/>
      <c r="Q308" s="290"/>
    </row>
    <row r="309" spans="5:17" x14ac:dyDescent="0.3">
      <c r="E309" s="288"/>
      <c r="F309" s="289"/>
      <c r="G309" s="289"/>
      <c r="H309" s="289"/>
      <c r="I309" s="289"/>
      <c r="J309" s="289"/>
      <c r="K309" s="289"/>
      <c r="L309" s="289"/>
      <c r="M309" s="290"/>
      <c r="N309" s="290"/>
      <c r="O309" s="290"/>
      <c r="P309" s="290"/>
      <c r="Q309" s="290"/>
    </row>
    <row r="310" spans="5:17" x14ac:dyDescent="0.3">
      <c r="E310" s="288"/>
      <c r="F310" s="289"/>
      <c r="G310" s="289"/>
      <c r="H310" s="289"/>
      <c r="I310" s="289"/>
      <c r="J310" s="289"/>
      <c r="K310" s="289"/>
      <c r="L310" s="289"/>
      <c r="M310" s="290"/>
      <c r="N310" s="290"/>
      <c r="O310" s="290"/>
      <c r="P310" s="290"/>
      <c r="Q310" s="290"/>
    </row>
    <row r="311" spans="5:17" x14ac:dyDescent="0.3">
      <c r="E311" s="288"/>
      <c r="F311" s="289"/>
      <c r="G311" s="289"/>
      <c r="H311" s="289"/>
      <c r="I311" s="289"/>
      <c r="J311" s="289"/>
      <c r="K311" s="289"/>
      <c r="L311" s="289"/>
      <c r="M311" s="290"/>
      <c r="N311" s="290"/>
      <c r="O311" s="290"/>
      <c r="P311" s="290"/>
      <c r="Q311" s="290"/>
    </row>
    <row r="312" spans="5:17" x14ac:dyDescent="0.3">
      <c r="E312" s="288"/>
      <c r="F312" s="289"/>
      <c r="G312" s="289"/>
      <c r="H312" s="289"/>
      <c r="I312" s="289"/>
      <c r="J312" s="289"/>
      <c r="K312" s="289"/>
      <c r="L312" s="289"/>
      <c r="M312" s="290"/>
      <c r="N312" s="290"/>
      <c r="O312" s="290"/>
      <c r="P312" s="290"/>
      <c r="Q312" s="290"/>
    </row>
    <row r="313" spans="5:17" x14ac:dyDescent="0.3">
      <c r="E313" s="288"/>
      <c r="F313" s="289"/>
      <c r="G313" s="289"/>
      <c r="H313" s="289"/>
      <c r="I313" s="289"/>
      <c r="J313" s="289"/>
      <c r="K313" s="289"/>
      <c r="L313" s="289"/>
      <c r="M313" s="290"/>
      <c r="N313" s="290"/>
      <c r="O313" s="290"/>
      <c r="P313" s="290"/>
      <c r="Q313" s="290"/>
    </row>
    <row r="314" spans="5:17" x14ac:dyDescent="0.3">
      <c r="E314" s="288"/>
      <c r="F314" s="289"/>
      <c r="G314" s="289"/>
      <c r="H314" s="289"/>
      <c r="I314" s="289"/>
      <c r="J314" s="289"/>
      <c r="K314" s="289"/>
      <c r="L314" s="289"/>
      <c r="M314" s="290"/>
      <c r="N314" s="290"/>
      <c r="O314" s="290"/>
      <c r="P314" s="290"/>
      <c r="Q314" s="290"/>
    </row>
    <row r="315" spans="5:17" x14ac:dyDescent="0.3">
      <c r="E315" s="288"/>
      <c r="F315" s="289"/>
      <c r="G315" s="289"/>
      <c r="H315" s="289"/>
      <c r="I315" s="289"/>
      <c r="J315" s="289"/>
      <c r="K315" s="289"/>
      <c r="L315" s="289"/>
      <c r="M315" s="290"/>
      <c r="N315" s="290"/>
      <c r="O315" s="290"/>
      <c r="P315" s="290"/>
      <c r="Q315" s="290"/>
    </row>
    <row r="316" spans="5:17" x14ac:dyDescent="0.3">
      <c r="E316" s="288"/>
      <c r="F316" s="289"/>
      <c r="G316" s="289"/>
      <c r="H316" s="289"/>
      <c r="I316" s="289"/>
      <c r="J316" s="289"/>
      <c r="K316" s="289"/>
      <c r="L316" s="289"/>
      <c r="M316" s="290"/>
      <c r="N316" s="290"/>
      <c r="O316" s="290"/>
      <c r="P316" s="290"/>
      <c r="Q316" s="290"/>
    </row>
    <row r="317" spans="5:17" x14ac:dyDescent="0.3">
      <c r="E317" s="288"/>
      <c r="F317" s="289"/>
      <c r="G317" s="289"/>
      <c r="H317" s="289"/>
      <c r="I317" s="289"/>
      <c r="J317" s="289"/>
      <c r="K317" s="289"/>
      <c r="L317" s="289"/>
      <c r="M317" s="290"/>
      <c r="N317" s="290"/>
      <c r="O317" s="290"/>
      <c r="P317" s="290"/>
      <c r="Q317" s="290"/>
    </row>
    <row r="318" spans="5:17" x14ac:dyDescent="0.3">
      <c r="E318" s="288"/>
      <c r="F318" s="289"/>
      <c r="G318" s="289"/>
      <c r="H318" s="289"/>
      <c r="I318" s="289"/>
      <c r="J318" s="289"/>
      <c r="K318" s="289"/>
      <c r="L318" s="289"/>
      <c r="M318" s="290"/>
      <c r="N318" s="290"/>
      <c r="O318" s="290"/>
      <c r="P318" s="290"/>
      <c r="Q318" s="290"/>
    </row>
    <row r="319" spans="5:17" x14ac:dyDescent="0.3">
      <c r="E319" s="288"/>
      <c r="F319" s="289"/>
      <c r="G319" s="289"/>
      <c r="H319" s="289"/>
      <c r="I319" s="289"/>
      <c r="J319" s="289"/>
      <c r="K319" s="289"/>
      <c r="L319" s="289"/>
      <c r="M319" s="290"/>
      <c r="N319" s="290"/>
      <c r="O319" s="290"/>
      <c r="P319" s="290"/>
      <c r="Q319" s="290"/>
    </row>
    <row r="320" spans="5:17" x14ac:dyDescent="0.3">
      <c r="E320" s="288"/>
      <c r="F320" s="289"/>
      <c r="G320" s="289"/>
      <c r="H320" s="289"/>
      <c r="I320" s="289"/>
      <c r="J320" s="289"/>
      <c r="K320" s="289"/>
      <c r="L320" s="289"/>
      <c r="M320" s="290"/>
      <c r="N320" s="290"/>
      <c r="O320" s="290"/>
      <c r="P320" s="290"/>
      <c r="Q320" s="290"/>
    </row>
    <row r="321" spans="5:17" x14ac:dyDescent="0.3">
      <c r="E321" s="288"/>
      <c r="F321" s="289"/>
      <c r="G321" s="289"/>
      <c r="H321" s="289"/>
      <c r="I321" s="289"/>
      <c r="J321" s="289"/>
      <c r="K321" s="289"/>
      <c r="L321" s="289"/>
      <c r="M321" s="290"/>
      <c r="N321" s="290"/>
      <c r="O321" s="290"/>
      <c r="P321" s="290"/>
      <c r="Q321" s="290"/>
    </row>
    <row r="322" spans="5:17" x14ac:dyDescent="0.3">
      <c r="E322" s="288"/>
      <c r="F322" s="289"/>
      <c r="G322" s="289"/>
      <c r="H322" s="289"/>
      <c r="I322" s="289"/>
      <c r="J322" s="289"/>
      <c r="K322" s="289"/>
      <c r="L322" s="289"/>
      <c r="M322" s="290"/>
      <c r="N322" s="290"/>
      <c r="O322" s="290"/>
      <c r="P322" s="290"/>
      <c r="Q322" s="290"/>
    </row>
    <row r="323" spans="5:17" x14ac:dyDescent="0.3">
      <c r="E323" s="288"/>
      <c r="F323" s="289"/>
      <c r="G323" s="289"/>
      <c r="H323" s="289"/>
      <c r="I323" s="289"/>
      <c r="J323" s="289"/>
      <c r="K323" s="289"/>
      <c r="L323" s="289"/>
      <c r="M323" s="290"/>
      <c r="N323" s="290"/>
      <c r="O323" s="290"/>
      <c r="P323" s="290"/>
      <c r="Q323" s="290"/>
    </row>
    <row r="324" spans="5:17" x14ac:dyDescent="0.3">
      <c r="E324" s="288"/>
      <c r="F324" s="289"/>
      <c r="G324" s="289"/>
      <c r="H324" s="289"/>
      <c r="I324" s="289"/>
      <c r="J324" s="289"/>
      <c r="K324" s="289"/>
      <c r="L324" s="289"/>
      <c r="M324" s="290"/>
      <c r="N324" s="290"/>
      <c r="O324" s="290"/>
      <c r="P324" s="290"/>
      <c r="Q324" s="290"/>
    </row>
    <row r="325" spans="5:17" x14ac:dyDescent="0.3">
      <c r="E325" s="288"/>
      <c r="F325" s="289"/>
      <c r="G325" s="289"/>
      <c r="H325" s="289"/>
      <c r="I325" s="289"/>
      <c r="J325" s="289"/>
      <c r="K325" s="289"/>
      <c r="L325" s="289"/>
      <c r="M325" s="290"/>
      <c r="N325" s="290"/>
      <c r="O325" s="290"/>
      <c r="P325" s="290"/>
      <c r="Q325" s="290"/>
    </row>
    <row r="326" spans="5:17" x14ac:dyDescent="0.3">
      <c r="E326" s="288"/>
      <c r="F326" s="289"/>
      <c r="G326" s="289"/>
      <c r="H326" s="289"/>
      <c r="I326" s="289"/>
      <c r="J326" s="289"/>
      <c r="K326" s="289"/>
      <c r="L326" s="289"/>
      <c r="M326" s="290"/>
      <c r="N326" s="290"/>
      <c r="O326" s="290"/>
      <c r="P326" s="290"/>
      <c r="Q326" s="290"/>
    </row>
    <row r="327" spans="5:17" x14ac:dyDescent="0.3">
      <c r="E327" s="288"/>
      <c r="F327" s="289"/>
      <c r="G327" s="289"/>
      <c r="H327" s="289"/>
      <c r="I327" s="289"/>
      <c r="J327" s="289"/>
      <c r="K327" s="289"/>
      <c r="L327" s="289"/>
      <c r="M327" s="290"/>
      <c r="N327" s="290"/>
      <c r="O327" s="290"/>
      <c r="P327" s="290"/>
      <c r="Q327" s="290"/>
    </row>
    <row r="328" spans="5:17" x14ac:dyDescent="0.3">
      <c r="E328" s="288"/>
      <c r="F328" s="289"/>
      <c r="G328" s="289"/>
      <c r="H328" s="289"/>
      <c r="I328" s="289"/>
      <c r="J328" s="289"/>
      <c r="K328" s="289"/>
      <c r="L328" s="289"/>
      <c r="M328" s="290"/>
      <c r="N328" s="290"/>
      <c r="O328" s="290"/>
      <c r="P328" s="290"/>
      <c r="Q328" s="290"/>
    </row>
    <row r="329" spans="5:17" x14ac:dyDescent="0.3">
      <c r="E329" s="288"/>
      <c r="F329" s="289"/>
      <c r="G329" s="289"/>
      <c r="H329" s="289"/>
      <c r="I329" s="289"/>
      <c r="J329" s="289"/>
      <c r="K329" s="289"/>
      <c r="L329" s="289"/>
      <c r="M329" s="290"/>
      <c r="N329" s="290"/>
      <c r="O329" s="290"/>
      <c r="P329" s="290"/>
      <c r="Q329" s="290"/>
    </row>
    <row r="330" spans="5:17" x14ac:dyDescent="0.3">
      <c r="E330" s="288"/>
      <c r="F330" s="289"/>
      <c r="G330" s="289"/>
      <c r="H330" s="289"/>
      <c r="I330" s="289"/>
      <c r="J330" s="289"/>
      <c r="K330" s="289"/>
      <c r="L330" s="289"/>
      <c r="M330" s="290"/>
      <c r="N330" s="290"/>
      <c r="O330" s="290"/>
      <c r="P330" s="290"/>
      <c r="Q330" s="290"/>
    </row>
    <row r="331" spans="5:17" x14ac:dyDescent="0.3">
      <c r="E331" s="288"/>
      <c r="F331" s="289"/>
      <c r="G331" s="289"/>
      <c r="H331" s="289"/>
      <c r="I331" s="289"/>
      <c r="J331" s="289"/>
      <c r="K331" s="289"/>
      <c r="L331" s="289"/>
      <c r="M331" s="290"/>
      <c r="N331" s="290"/>
      <c r="O331" s="290"/>
      <c r="P331" s="290"/>
      <c r="Q331" s="290"/>
    </row>
    <row r="332" spans="5:17" x14ac:dyDescent="0.3">
      <c r="E332" s="288"/>
      <c r="F332" s="289"/>
      <c r="G332" s="289"/>
      <c r="H332" s="289"/>
      <c r="I332" s="289"/>
      <c r="J332" s="289"/>
      <c r="K332" s="289"/>
      <c r="L332" s="289"/>
      <c r="M332" s="290"/>
      <c r="N332" s="290"/>
      <c r="O332" s="290"/>
      <c r="P332" s="290"/>
      <c r="Q332" s="290"/>
    </row>
    <row r="333" spans="5:17" x14ac:dyDescent="0.3">
      <c r="E333" s="288"/>
      <c r="F333" s="289"/>
      <c r="G333" s="289"/>
      <c r="H333" s="289"/>
      <c r="I333" s="289"/>
      <c r="J333" s="289"/>
      <c r="K333" s="289"/>
      <c r="L333" s="289"/>
      <c r="M333" s="290"/>
      <c r="N333" s="290"/>
      <c r="O333" s="290"/>
      <c r="P333" s="290"/>
      <c r="Q333" s="290"/>
    </row>
    <row r="334" spans="5:17" x14ac:dyDescent="0.3">
      <c r="E334" s="288"/>
      <c r="F334" s="289"/>
      <c r="G334" s="289"/>
      <c r="H334" s="289"/>
      <c r="I334" s="289"/>
      <c r="J334" s="289"/>
      <c r="K334" s="289"/>
      <c r="L334" s="289"/>
      <c r="M334" s="290"/>
      <c r="N334" s="290"/>
      <c r="O334" s="290"/>
      <c r="P334" s="290"/>
      <c r="Q334" s="290"/>
    </row>
    <row r="335" spans="5:17" x14ac:dyDescent="0.3">
      <c r="E335" s="288"/>
      <c r="F335" s="289"/>
      <c r="G335" s="289"/>
      <c r="H335" s="289"/>
      <c r="I335" s="289"/>
      <c r="J335" s="289"/>
      <c r="K335" s="289"/>
      <c r="L335" s="289"/>
      <c r="M335" s="290"/>
      <c r="N335" s="290"/>
      <c r="O335" s="290"/>
      <c r="P335" s="290"/>
      <c r="Q335" s="290"/>
    </row>
    <row r="336" spans="5:17" x14ac:dyDescent="0.3">
      <c r="E336" s="288"/>
      <c r="F336" s="289"/>
      <c r="G336" s="289"/>
      <c r="H336" s="289"/>
      <c r="I336" s="289"/>
      <c r="J336" s="289"/>
      <c r="K336" s="289"/>
      <c r="L336" s="289"/>
      <c r="M336" s="290"/>
      <c r="N336" s="290"/>
      <c r="O336" s="290"/>
      <c r="P336" s="290"/>
      <c r="Q336" s="290"/>
    </row>
    <row r="337" spans="5:17" x14ac:dyDescent="0.3">
      <c r="E337" s="288"/>
      <c r="F337" s="289"/>
      <c r="G337" s="289"/>
      <c r="H337" s="289"/>
      <c r="I337" s="289"/>
      <c r="J337" s="289"/>
      <c r="K337" s="289"/>
      <c r="L337" s="289"/>
      <c r="M337" s="290"/>
      <c r="N337" s="290"/>
      <c r="O337" s="290"/>
      <c r="P337" s="290"/>
      <c r="Q337" s="290"/>
    </row>
    <row r="338" spans="5:17" x14ac:dyDescent="0.3">
      <c r="E338" s="288"/>
      <c r="F338" s="289"/>
      <c r="G338" s="289"/>
      <c r="H338" s="289"/>
      <c r="I338" s="289"/>
      <c r="J338" s="289"/>
      <c r="K338" s="289"/>
      <c r="L338" s="289"/>
      <c r="M338" s="290"/>
      <c r="N338" s="290"/>
      <c r="O338" s="290"/>
      <c r="P338" s="290"/>
      <c r="Q338" s="290"/>
    </row>
    <row r="339" spans="5:17" x14ac:dyDescent="0.3">
      <c r="E339" s="288"/>
      <c r="F339" s="289"/>
      <c r="G339" s="289"/>
      <c r="H339" s="289"/>
      <c r="I339" s="289"/>
      <c r="J339" s="289"/>
      <c r="K339" s="289"/>
      <c r="L339" s="289"/>
      <c r="M339" s="290"/>
      <c r="N339" s="290"/>
      <c r="O339" s="290"/>
      <c r="P339" s="290"/>
      <c r="Q339" s="290"/>
    </row>
    <row r="340" spans="5:17" x14ac:dyDescent="0.3">
      <c r="E340" s="288"/>
      <c r="F340" s="289"/>
      <c r="G340" s="289"/>
      <c r="H340" s="289"/>
      <c r="I340" s="289"/>
      <c r="J340" s="289"/>
      <c r="K340" s="289"/>
      <c r="L340" s="289"/>
      <c r="M340" s="290"/>
      <c r="N340" s="290"/>
      <c r="O340" s="290"/>
      <c r="P340" s="290"/>
      <c r="Q340" s="290"/>
    </row>
    <row r="341" spans="5:17" x14ac:dyDescent="0.3">
      <c r="E341" s="288"/>
      <c r="F341" s="289"/>
      <c r="G341" s="289"/>
      <c r="H341" s="289"/>
      <c r="I341" s="289"/>
      <c r="J341" s="289"/>
      <c r="K341" s="289"/>
      <c r="L341" s="289"/>
      <c r="M341" s="290"/>
      <c r="N341" s="290"/>
      <c r="O341" s="290"/>
      <c r="P341" s="290"/>
      <c r="Q341" s="290"/>
    </row>
    <row r="342" spans="5:17" x14ac:dyDescent="0.3">
      <c r="E342" s="288"/>
      <c r="F342" s="289"/>
      <c r="G342" s="289"/>
      <c r="H342" s="289"/>
      <c r="I342" s="289"/>
      <c r="J342" s="289"/>
      <c r="K342" s="289"/>
      <c r="L342" s="289"/>
      <c r="M342" s="290"/>
      <c r="N342" s="290"/>
      <c r="O342" s="290"/>
      <c r="P342" s="290"/>
      <c r="Q342" s="290"/>
    </row>
    <row r="343" spans="5:17" x14ac:dyDescent="0.3">
      <c r="E343" s="288"/>
      <c r="F343" s="289"/>
      <c r="G343" s="289"/>
      <c r="H343" s="289"/>
      <c r="I343" s="289"/>
      <c r="J343" s="289"/>
      <c r="K343" s="289"/>
      <c r="L343" s="289"/>
      <c r="M343" s="290"/>
      <c r="N343" s="290"/>
      <c r="O343" s="290"/>
      <c r="P343" s="290"/>
      <c r="Q343" s="290"/>
    </row>
    <row r="344" spans="5:17" x14ac:dyDescent="0.3">
      <c r="E344" s="288"/>
      <c r="F344" s="289"/>
      <c r="G344" s="289"/>
      <c r="H344" s="289"/>
      <c r="I344" s="289"/>
      <c r="J344" s="289"/>
      <c r="K344" s="289"/>
      <c r="L344" s="289"/>
      <c r="M344" s="290"/>
      <c r="N344" s="290"/>
      <c r="O344" s="290"/>
      <c r="P344" s="290"/>
      <c r="Q344" s="290"/>
    </row>
    <row r="345" spans="5:17" x14ac:dyDescent="0.3">
      <c r="E345" s="288"/>
      <c r="F345" s="289"/>
      <c r="G345" s="289"/>
      <c r="H345" s="289"/>
      <c r="I345" s="289"/>
      <c r="J345" s="289"/>
      <c r="K345" s="289"/>
      <c r="L345" s="289"/>
      <c r="M345" s="290"/>
      <c r="N345" s="290"/>
      <c r="O345" s="290"/>
      <c r="P345" s="290"/>
      <c r="Q345" s="290"/>
    </row>
    <row r="346" spans="5:17" x14ac:dyDescent="0.3">
      <c r="E346" s="288"/>
      <c r="F346" s="289"/>
      <c r="G346" s="289"/>
      <c r="H346" s="289"/>
      <c r="I346" s="289"/>
      <c r="J346" s="289"/>
      <c r="K346" s="289"/>
      <c r="L346" s="289"/>
      <c r="M346" s="290"/>
      <c r="N346" s="290"/>
      <c r="O346" s="290"/>
      <c r="P346" s="290"/>
      <c r="Q346" s="290"/>
    </row>
    <row r="347" spans="5:17" x14ac:dyDescent="0.3">
      <c r="E347" s="288"/>
      <c r="F347" s="289"/>
      <c r="G347" s="289"/>
      <c r="H347" s="289"/>
      <c r="I347" s="289"/>
      <c r="J347" s="289"/>
      <c r="K347" s="289"/>
      <c r="L347" s="289"/>
      <c r="M347" s="290"/>
      <c r="N347" s="290"/>
      <c r="O347" s="290"/>
      <c r="P347" s="290"/>
      <c r="Q347" s="290"/>
    </row>
    <row r="348" spans="5:17" x14ac:dyDescent="0.3">
      <c r="E348" s="288"/>
      <c r="F348" s="289"/>
      <c r="G348" s="289"/>
      <c r="H348" s="289"/>
      <c r="I348" s="289"/>
      <c r="J348" s="289"/>
      <c r="K348" s="289"/>
      <c r="L348" s="289"/>
      <c r="M348" s="290"/>
      <c r="N348" s="290"/>
      <c r="O348" s="290"/>
      <c r="P348" s="290"/>
      <c r="Q348" s="290"/>
    </row>
    <row r="349" spans="5:17" x14ac:dyDescent="0.3">
      <c r="E349" s="288"/>
      <c r="F349" s="289"/>
      <c r="G349" s="289"/>
      <c r="H349" s="289"/>
      <c r="I349" s="289"/>
      <c r="J349" s="289"/>
      <c r="K349" s="289"/>
      <c r="L349" s="289"/>
      <c r="M349" s="290"/>
      <c r="N349" s="290"/>
      <c r="O349" s="290"/>
      <c r="P349" s="290"/>
      <c r="Q349" s="290"/>
    </row>
    <row r="350" spans="5:17" x14ac:dyDescent="0.3">
      <c r="E350" s="288"/>
      <c r="F350" s="289"/>
      <c r="G350" s="289"/>
      <c r="H350" s="289"/>
      <c r="I350" s="289"/>
      <c r="J350" s="289"/>
      <c r="K350" s="289"/>
      <c r="L350" s="289"/>
      <c r="M350" s="290"/>
      <c r="N350" s="290"/>
      <c r="O350" s="290"/>
      <c r="P350" s="290"/>
      <c r="Q350" s="290"/>
    </row>
    <row r="351" spans="5:17" x14ac:dyDescent="0.3">
      <c r="E351" s="288"/>
      <c r="F351" s="289"/>
      <c r="G351" s="289"/>
      <c r="H351" s="289"/>
      <c r="I351" s="289"/>
      <c r="J351" s="289"/>
      <c r="K351" s="289"/>
      <c r="L351" s="289"/>
      <c r="M351" s="290"/>
      <c r="N351" s="290"/>
      <c r="O351" s="290"/>
      <c r="P351" s="290"/>
      <c r="Q351" s="290"/>
    </row>
    <row r="352" spans="5:17" x14ac:dyDescent="0.3">
      <c r="E352" s="288"/>
      <c r="F352" s="289"/>
      <c r="G352" s="289"/>
      <c r="H352" s="289"/>
      <c r="I352" s="289"/>
      <c r="J352" s="289"/>
      <c r="K352" s="289"/>
      <c r="L352" s="289"/>
      <c r="M352" s="290"/>
      <c r="N352" s="290"/>
      <c r="O352" s="290"/>
      <c r="P352" s="290"/>
      <c r="Q352" s="290"/>
    </row>
    <row r="353" spans="5:17" x14ac:dyDescent="0.3">
      <c r="E353" s="288"/>
      <c r="F353" s="289"/>
      <c r="G353" s="289"/>
      <c r="H353" s="289"/>
      <c r="I353" s="289"/>
      <c r="J353" s="289"/>
      <c r="K353" s="289"/>
      <c r="L353" s="289"/>
      <c r="M353" s="290"/>
      <c r="N353" s="290"/>
      <c r="O353" s="290"/>
      <c r="P353" s="290"/>
      <c r="Q353" s="290"/>
    </row>
    <row r="354" spans="5:17" x14ac:dyDescent="0.3">
      <c r="E354" s="288"/>
      <c r="F354" s="289"/>
      <c r="G354" s="289"/>
      <c r="H354" s="289"/>
      <c r="I354" s="289"/>
      <c r="J354" s="289"/>
      <c r="K354" s="289"/>
      <c r="L354" s="289"/>
      <c r="M354" s="290"/>
      <c r="N354" s="290"/>
      <c r="O354" s="290"/>
      <c r="P354" s="290"/>
      <c r="Q354" s="290"/>
    </row>
    <row r="355" spans="5:17" x14ac:dyDescent="0.3">
      <c r="E355" s="288"/>
      <c r="F355" s="289"/>
      <c r="G355" s="289"/>
      <c r="H355" s="289"/>
      <c r="I355" s="289"/>
      <c r="J355" s="289"/>
      <c r="K355" s="289"/>
      <c r="L355" s="289"/>
      <c r="M355" s="290"/>
      <c r="N355" s="290"/>
      <c r="O355" s="290"/>
      <c r="P355" s="290"/>
      <c r="Q355" s="290"/>
    </row>
  </sheetData>
  <autoFilter ref="A3:U215" xr:uid="{C7281262-C43D-4C77-8E6A-53D1B9B414B5}">
    <filterColumn colId="2">
      <filters>
        <filter val="5. DEEE et Economie circulaire"/>
      </filters>
    </filterColumn>
  </autoFilter>
  <mergeCells count="5">
    <mergeCell ref="M2:Q2"/>
    <mergeCell ref="F2:L2"/>
    <mergeCell ref="R1:U1"/>
    <mergeCell ref="R2:S2"/>
    <mergeCell ref="T2:U2"/>
  </mergeCells>
  <conditionalFormatting sqref="C214 B73 B128 C128:C129 B51:C52 B74:C95 B54:C57 B59:C72 C120 B97:C98 B100:C119 B99 B130:C208 B3:C49 B122:C127 B216:C1048576 B211:C213">
    <cfRule type="colorScale" priority="46">
      <colorScale>
        <cfvo type="num" val="1"/>
        <cfvo type="num" val="2"/>
        <cfvo type="num" val="3"/>
        <color theme="9" tint="0.79998168889431442"/>
        <color theme="9" tint="0.39997558519241921"/>
        <color theme="9" tint="-0.499984740745262"/>
      </colorScale>
    </cfRule>
  </conditionalFormatting>
  <conditionalFormatting sqref="A3">
    <cfRule type="colorScale" priority="40">
      <colorScale>
        <cfvo type="num" val="1"/>
        <cfvo type="num" val="2"/>
        <cfvo type="num" val="3"/>
        <color theme="9" tint="0.79998168889431442"/>
        <color theme="9" tint="0.39997558519241921"/>
        <color theme="9" tint="-0.499984740745262"/>
      </colorScale>
    </cfRule>
  </conditionalFormatting>
  <conditionalFormatting sqref="D205:D207">
    <cfRule type="colorScale" priority="38">
      <colorScale>
        <cfvo type="num" val="1"/>
        <cfvo type="num" val="2"/>
        <cfvo type="num" val="3"/>
        <color theme="9" tint="0.79998168889431442"/>
        <color theme="9" tint="0.39997558519241921"/>
        <color theme="9" tint="-0.499984740745262"/>
      </colorScale>
    </cfRule>
  </conditionalFormatting>
  <conditionalFormatting sqref="B214:B215">
    <cfRule type="colorScale" priority="35">
      <colorScale>
        <cfvo type="num" val="1"/>
        <cfvo type="num" val="2"/>
        <cfvo type="num" val="3"/>
        <color theme="9" tint="0.79998168889431442"/>
        <color theme="9" tint="0.39997558519241921"/>
        <color theme="9" tint="-0.499984740745262"/>
      </colorScale>
    </cfRule>
  </conditionalFormatting>
  <conditionalFormatting sqref="B209:C209">
    <cfRule type="colorScale" priority="34">
      <colorScale>
        <cfvo type="num" val="1"/>
        <cfvo type="num" val="2"/>
        <cfvo type="num" val="3"/>
        <color theme="9" tint="0.79998168889431442"/>
        <color theme="9" tint="0.39997558519241921"/>
        <color theme="9" tint="-0.499984740745262"/>
      </colorScale>
    </cfRule>
  </conditionalFormatting>
  <conditionalFormatting sqref="D209">
    <cfRule type="colorScale" priority="32">
      <colorScale>
        <cfvo type="num" val="1"/>
        <cfvo type="num" val="2"/>
        <cfvo type="num" val="3"/>
        <color theme="9" tint="0.79998168889431442"/>
        <color theme="9" tint="0.39997558519241921"/>
        <color theme="9" tint="-0.499984740745262"/>
      </colorScale>
    </cfRule>
  </conditionalFormatting>
  <conditionalFormatting sqref="C187">
    <cfRule type="colorScale" priority="31">
      <colorScale>
        <cfvo type="num" val="1"/>
        <cfvo type="num" val="2"/>
        <cfvo type="num" val="3"/>
        <color theme="9" tint="0.79998168889431442"/>
        <color theme="9" tint="0.39997558519241921"/>
        <color theme="9" tint="-0.499984740745262"/>
      </colorScale>
    </cfRule>
  </conditionalFormatting>
  <conditionalFormatting sqref="C215">
    <cfRule type="colorScale" priority="28">
      <colorScale>
        <cfvo type="num" val="1"/>
        <cfvo type="num" val="2"/>
        <cfvo type="num" val="3"/>
        <color theme="9" tint="0.79998168889431442"/>
        <color theme="9" tint="0.39997558519241921"/>
        <color theme="9" tint="-0.499984740745262"/>
      </colorScale>
    </cfRule>
  </conditionalFormatting>
  <conditionalFormatting sqref="B210">
    <cfRule type="colorScale" priority="26">
      <colorScale>
        <cfvo type="num" val="1"/>
        <cfvo type="num" val="2"/>
        <cfvo type="num" val="3"/>
        <color theme="9" tint="0.79998168889431442"/>
        <color theme="9" tint="0.39997558519241921"/>
        <color theme="9" tint="-0.499984740745262"/>
      </colorScale>
    </cfRule>
  </conditionalFormatting>
  <conditionalFormatting sqref="C210">
    <cfRule type="colorScale" priority="25">
      <colorScale>
        <cfvo type="num" val="1"/>
        <cfvo type="num" val="2"/>
        <cfvo type="num" val="3"/>
        <color theme="9" tint="0.79998168889431442"/>
        <color theme="9" tint="0.39997558519241921"/>
        <color theme="9" tint="-0.499984740745262"/>
      </colorScale>
    </cfRule>
  </conditionalFormatting>
  <conditionalFormatting sqref="D210">
    <cfRule type="colorScale" priority="24">
      <colorScale>
        <cfvo type="num" val="1"/>
        <cfvo type="num" val="2"/>
        <cfvo type="num" val="3"/>
        <color theme="9" tint="0.79998168889431442"/>
        <color theme="9" tint="0.39997558519241921"/>
        <color theme="9" tint="-0.499984740745262"/>
      </colorScale>
    </cfRule>
  </conditionalFormatting>
  <conditionalFormatting sqref="B201:B202">
    <cfRule type="colorScale" priority="23">
      <colorScale>
        <cfvo type="num" val="1"/>
        <cfvo type="num" val="2"/>
        <cfvo type="num" val="3"/>
        <color theme="9" tint="0.79998168889431442"/>
        <color theme="9" tint="0.39997558519241921"/>
        <color theme="9" tint="-0.499984740745262"/>
      </colorScale>
    </cfRule>
  </conditionalFormatting>
  <conditionalFormatting sqref="C201:C202">
    <cfRule type="colorScale" priority="22">
      <colorScale>
        <cfvo type="num" val="1"/>
        <cfvo type="num" val="2"/>
        <cfvo type="num" val="3"/>
        <color theme="9" tint="0.79998168889431442"/>
        <color theme="9" tint="0.39997558519241921"/>
        <color theme="9" tint="-0.499984740745262"/>
      </colorScale>
    </cfRule>
  </conditionalFormatting>
  <conditionalFormatting sqref="C73">
    <cfRule type="colorScale" priority="20">
      <colorScale>
        <cfvo type="num" val="1"/>
        <cfvo type="num" val="2"/>
        <cfvo type="num" val="3"/>
        <color theme="9" tint="0.79998168889431442"/>
        <color theme="9" tint="0.39997558519241921"/>
        <color theme="9" tint="-0.499984740745262"/>
      </colorScale>
    </cfRule>
  </conditionalFormatting>
  <conditionalFormatting sqref="B129">
    <cfRule type="colorScale" priority="18">
      <colorScale>
        <cfvo type="num" val="1"/>
        <cfvo type="num" val="2"/>
        <cfvo type="num" val="3"/>
        <color theme="9" tint="0.79998168889431442"/>
        <color theme="9" tint="0.39997558519241921"/>
        <color theme="9" tint="-0.499984740745262"/>
      </colorScale>
    </cfRule>
  </conditionalFormatting>
  <conditionalFormatting sqref="B50:C50">
    <cfRule type="colorScale" priority="13">
      <colorScale>
        <cfvo type="num" val="1"/>
        <cfvo type="num" val="2"/>
        <cfvo type="num" val="3"/>
        <color theme="9" tint="0.79998168889431442"/>
        <color theme="9" tint="0.39997558519241921"/>
        <color theme="9" tint="-0.499984740745262"/>
      </colorScale>
    </cfRule>
  </conditionalFormatting>
  <conditionalFormatting sqref="B53:C53">
    <cfRule type="colorScale" priority="11">
      <colorScale>
        <cfvo type="num" val="1"/>
        <cfvo type="num" val="2"/>
        <cfvo type="num" val="3"/>
        <color theme="9" tint="0.79998168889431442"/>
        <color theme="9" tint="0.39997558519241921"/>
        <color theme="9" tint="-0.499984740745262"/>
      </colorScale>
    </cfRule>
  </conditionalFormatting>
  <conditionalFormatting sqref="B58:C58">
    <cfRule type="colorScale" priority="9">
      <colorScale>
        <cfvo type="num" val="1"/>
        <cfvo type="num" val="2"/>
        <cfvo type="num" val="3"/>
        <color theme="9" tint="0.79998168889431442"/>
        <color theme="9" tint="0.39997558519241921"/>
        <color theme="9" tint="-0.499984740745262"/>
      </colorScale>
    </cfRule>
  </conditionalFormatting>
  <conditionalFormatting sqref="C121">
    <cfRule type="colorScale" priority="8">
      <colorScale>
        <cfvo type="num" val="1"/>
        <cfvo type="num" val="2"/>
        <cfvo type="num" val="3"/>
        <color theme="9" tint="0.79998168889431442"/>
        <color theme="9" tint="0.39997558519241921"/>
        <color theme="9" tint="-0.499984740745262"/>
      </colorScale>
    </cfRule>
  </conditionalFormatting>
  <conditionalFormatting sqref="B120:B121">
    <cfRule type="colorScale" priority="7">
      <colorScale>
        <cfvo type="num" val="1"/>
        <cfvo type="num" val="2"/>
        <cfvo type="num" val="3"/>
        <color theme="9" tint="0.79998168889431442"/>
        <color theme="9" tint="0.39997558519241921"/>
        <color theme="9" tint="-0.499984740745262"/>
      </colorScale>
    </cfRule>
  </conditionalFormatting>
  <conditionalFormatting sqref="B96:C96">
    <cfRule type="colorScale" priority="6">
      <colorScale>
        <cfvo type="num" val="1"/>
        <cfvo type="num" val="2"/>
        <cfvo type="num" val="3"/>
        <color theme="9" tint="0.79998168889431442"/>
        <color theme="9" tint="0.39997558519241921"/>
        <color theme="9" tint="-0.499984740745262"/>
      </colorScale>
    </cfRule>
  </conditionalFormatting>
  <conditionalFormatting sqref="C99">
    <cfRule type="colorScale" priority="5">
      <colorScale>
        <cfvo type="num" val="1"/>
        <cfvo type="num" val="2"/>
        <cfvo type="num" val="3"/>
        <color theme="9" tint="0.79998168889431442"/>
        <color theme="9" tint="0.39997558519241921"/>
        <color theme="9" tint="-0.499984740745262"/>
      </colorScale>
    </cfRule>
  </conditionalFormatting>
  <conditionalFormatting sqref="D208">
    <cfRule type="colorScale" priority="4">
      <colorScale>
        <cfvo type="num" val="1"/>
        <cfvo type="num" val="2"/>
        <cfvo type="num" val="3"/>
        <color theme="9" tint="0.79998168889431442"/>
        <color theme="9" tint="0.39997558519241921"/>
        <color theme="9" tint="-0.499984740745262"/>
      </colorScale>
    </cfRule>
  </conditionalFormatting>
  <conditionalFormatting sqref="D211:D212">
    <cfRule type="colorScale" priority="3">
      <colorScale>
        <cfvo type="num" val="1"/>
        <cfvo type="num" val="2"/>
        <cfvo type="num" val="3"/>
        <color theme="9" tint="0.79998168889431442"/>
        <color theme="9" tint="0.39997558519241921"/>
        <color theme="9" tint="-0.499984740745262"/>
      </colorScale>
    </cfRule>
  </conditionalFormatting>
  <conditionalFormatting sqref="D213">
    <cfRule type="colorScale" priority="2">
      <colorScale>
        <cfvo type="num" val="1"/>
        <cfvo type="num" val="2"/>
        <cfvo type="num" val="3"/>
        <color theme="9" tint="0.79998168889431442"/>
        <color theme="9" tint="0.39997558519241921"/>
        <color theme="9" tint="-0.499984740745262"/>
      </colorScale>
    </cfRule>
  </conditionalFormatting>
  <conditionalFormatting sqref="D214:D215">
    <cfRule type="colorScale" priority="1">
      <colorScale>
        <cfvo type="num" val="1"/>
        <cfvo type="num" val="2"/>
        <cfvo type="num" val="3"/>
        <color theme="9" tint="0.79998168889431442"/>
        <color theme="9" tint="0.39997558519241921"/>
        <color theme="9" tint="-0.499984740745262"/>
      </colorScale>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C0C54EB-1592-40BA-A5AD-A456E5725323}">
          <x14:formula1>
            <xm:f>'Validation des données'!$B$3:$B$8</xm:f>
          </x14:formula1>
          <xm:sqref>R4:R215 T4:T215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CFCEA-3893-44DF-A24F-95ED5C40530A}">
  <dimension ref="A1:AB216"/>
  <sheetViews>
    <sheetView topLeftCell="M1" zoomScaleNormal="100" workbookViewId="0">
      <selection activeCell="O45" sqref="O45"/>
    </sheetView>
  </sheetViews>
  <sheetFormatPr defaultColWidth="8.88671875" defaultRowHeight="14.4" x14ac:dyDescent="0.3"/>
  <cols>
    <col min="1" max="1" width="3.5546875" hidden="1" customWidth="1"/>
    <col min="2" max="2" width="8.88671875" hidden="1" customWidth="1"/>
    <col min="3" max="7" width="16.6640625" style="11" hidden="1" customWidth="1"/>
    <col min="8" max="8" width="8.88671875" hidden="1" customWidth="1"/>
    <col min="9" max="9" width="41.21875" hidden="1" customWidth="1"/>
    <col min="10" max="12" width="21.5546875" hidden="1" customWidth="1"/>
    <col min="13" max="13" width="3" customWidth="1"/>
    <col min="14" max="14" width="37.5546875" customWidth="1"/>
    <col min="15" max="15" width="20.5546875" customWidth="1"/>
  </cols>
  <sheetData>
    <row r="1" spans="2:28" ht="15.6" customHeight="1" x14ac:dyDescent="0.3">
      <c r="B1" s="330" t="s">
        <v>715</v>
      </c>
      <c r="C1" s="331"/>
      <c r="D1" s="331"/>
      <c r="E1" s="331"/>
      <c r="F1" s="331"/>
      <c r="G1" s="332"/>
      <c r="I1" s="336" t="s">
        <v>714</v>
      </c>
      <c r="J1" s="337"/>
      <c r="K1" s="337"/>
      <c r="L1" s="338"/>
      <c r="N1" s="342" t="s">
        <v>717</v>
      </c>
      <c r="O1" s="343"/>
      <c r="R1" s="268"/>
      <c r="S1" s="268"/>
      <c r="T1" s="268"/>
      <c r="U1" s="268"/>
      <c r="V1" s="268"/>
      <c r="W1" s="268"/>
      <c r="X1" s="268"/>
      <c r="Y1" s="268"/>
      <c r="Z1" s="268"/>
      <c r="AA1" s="268"/>
      <c r="AB1" s="268"/>
    </row>
    <row r="2" spans="2:28" x14ac:dyDescent="0.3">
      <c r="B2" s="333"/>
      <c r="C2" s="334"/>
      <c r="D2" s="334"/>
      <c r="E2" s="334"/>
      <c r="F2" s="334"/>
      <c r="G2" s="335"/>
      <c r="I2" s="339"/>
      <c r="J2" s="340"/>
      <c r="K2" s="340"/>
      <c r="L2" s="341"/>
      <c r="N2" s="344"/>
      <c r="O2" s="345"/>
      <c r="R2" s="268"/>
      <c r="S2" s="268"/>
      <c r="T2" s="268"/>
      <c r="U2" s="268"/>
      <c r="V2" s="268"/>
      <c r="W2" s="268"/>
      <c r="X2" s="268"/>
      <c r="Y2" s="268"/>
      <c r="Z2" s="268"/>
      <c r="AA2" s="268"/>
      <c r="AB2" s="268"/>
    </row>
    <row r="3" spans="2:28" s="256" customFormat="1" x14ac:dyDescent="0.3">
      <c r="B3" s="250" t="s">
        <v>525</v>
      </c>
      <c r="C3" s="249" t="s">
        <v>707</v>
      </c>
      <c r="D3" s="249" t="s">
        <v>708</v>
      </c>
      <c r="E3" s="249" t="s">
        <v>709</v>
      </c>
      <c r="F3" s="249" t="s">
        <v>710</v>
      </c>
      <c r="G3" s="251" t="s">
        <v>711</v>
      </c>
      <c r="I3" s="259" t="s">
        <v>567</v>
      </c>
      <c r="J3" s="258" t="s">
        <v>712</v>
      </c>
      <c r="K3" s="258" t="s">
        <v>713</v>
      </c>
      <c r="L3" s="260" t="s">
        <v>711</v>
      </c>
      <c r="N3" s="266" t="s">
        <v>567</v>
      </c>
      <c r="O3" s="267" t="s">
        <v>716</v>
      </c>
      <c r="R3" s="269"/>
      <c r="S3" s="269"/>
      <c r="T3" s="269"/>
      <c r="U3" s="269"/>
      <c r="V3" s="269"/>
      <c r="W3" s="269"/>
      <c r="X3" s="269"/>
      <c r="Y3" s="269"/>
      <c r="Z3" s="269"/>
      <c r="AA3" s="269"/>
      <c r="AB3" s="269"/>
    </row>
    <row r="4" spans="2:28" x14ac:dyDescent="0.3">
      <c r="B4" s="253">
        <v>1</v>
      </c>
      <c r="C4" s="271" t="str">
        <f>IF('1. Questionnaire d''entretien '!R4="","N/A",'1. Questionnaire d''entretien '!R4)</f>
        <v>N/A</v>
      </c>
      <c r="D4" s="271" t="str">
        <f>IF('1. Questionnaire d''entretien '!T4="","N/A",'1. Questionnaire d''entretien '!T4)</f>
        <v>N/A</v>
      </c>
      <c r="E4" s="271" t="str">
        <f t="shared" ref="E4:E67" si="0">IF(AND(C4="N/A",D4="N/A"),"N/A",AVERAGE(C4:D4))</f>
        <v>N/A</v>
      </c>
      <c r="F4" s="271" cm="1">
        <f t="array" ref="F4">_xlfn.IFS('1. Questionnaire d''entretien '!B4=1,1,'1. Questionnaire d''entretien '!B4=2,0.75,'1. Questionnaire d''entretien '!B4=3,0.5)</f>
        <v>1</v>
      </c>
      <c r="G4" s="273" t="str">
        <f t="shared" ref="G4:G67" si="1">IF(E4="N/A","N/A",E4*F4)</f>
        <v>N/A</v>
      </c>
      <c r="I4" s="261" t="s">
        <v>503</v>
      </c>
      <c r="J4" s="255">
        <f>SUMIF('1. Questionnaire d''entretien '!$C$4:$C$215,I4,'2. Note de maturité'!$G$4:$G$215)</f>
        <v>0</v>
      </c>
      <c r="K4" s="255">
        <f>SUMIFS($F$4:$F$215,'1. Questionnaire d''entretien '!$C$4:$C$215,'2. Note de maturité'!I4,'2. Note de maturité'!$E$4:$E$215,"&lt;&gt;N/A")</f>
        <v>0</v>
      </c>
      <c r="L4" s="262" t="e">
        <f t="shared" ref="L4:L10" si="2">J4/K4</f>
        <v>#DIV/0!</v>
      </c>
      <c r="N4" s="261" t="s">
        <v>503</v>
      </c>
      <c r="O4" s="264" t="str">
        <f t="shared" ref="O4:O10" si="3">IF(ISNUMBER(L4),L4,"N/A")</f>
        <v>N/A</v>
      </c>
      <c r="R4" s="268"/>
      <c r="S4" s="268"/>
      <c r="T4" s="268"/>
      <c r="U4" s="268"/>
      <c r="V4" s="268"/>
      <c r="W4" s="268"/>
      <c r="X4" s="268"/>
      <c r="Y4" s="268"/>
      <c r="Z4" s="268"/>
      <c r="AA4" s="268"/>
      <c r="AB4" s="268"/>
    </row>
    <row r="5" spans="2:28" x14ac:dyDescent="0.3">
      <c r="B5" s="253">
        <f>B4+1</f>
        <v>2</v>
      </c>
      <c r="C5" s="271" t="str">
        <f>IF('1. Questionnaire d''entretien '!R5="","N/A",'1. Questionnaire d''entretien '!R5)</f>
        <v>N/A</v>
      </c>
      <c r="D5" s="271" t="str">
        <f>IF('1. Questionnaire d''entretien '!T5="","N/A",'1. Questionnaire d''entretien '!T5)</f>
        <v>N/A</v>
      </c>
      <c r="E5" s="271" t="str">
        <f t="shared" si="0"/>
        <v>N/A</v>
      </c>
      <c r="F5" s="271" cm="1">
        <f t="array" ref="F5">_xlfn.IFS('1. Questionnaire d''entretien '!B5=1,1,'1. Questionnaire d''entretien '!B5=2,0.75,'1. Questionnaire d''entretien '!B5=3,0.5)</f>
        <v>1</v>
      </c>
      <c r="G5" s="273" t="str">
        <f t="shared" si="1"/>
        <v>N/A</v>
      </c>
      <c r="I5" s="261" t="s">
        <v>504</v>
      </c>
      <c r="J5" s="255">
        <f>SUMIF('1. Questionnaire d''entretien '!$C$4:$C$215,I5,'2. Note de maturité'!$G$4:$G$215)</f>
        <v>0</v>
      </c>
      <c r="K5" s="255">
        <f>SUMIFS($F$4:$F$215,'1. Questionnaire d''entretien '!$C$4:$C$215,'2. Note de maturité'!I5,'2. Note de maturité'!$E$4:$E$215,"&lt;&gt;N/A")</f>
        <v>0</v>
      </c>
      <c r="L5" s="262" t="e">
        <f t="shared" si="2"/>
        <v>#DIV/0!</v>
      </c>
      <c r="N5" s="261" t="s">
        <v>504</v>
      </c>
      <c r="O5" s="264" t="str">
        <f t="shared" si="3"/>
        <v>N/A</v>
      </c>
      <c r="R5" s="268"/>
      <c r="S5" s="268"/>
      <c r="T5" s="268"/>
      <c r="U5" s="268"/>
      <c r="V5" s="268"/>
      <c r="W5" s="268"/>
      <c r="X5" s="268"/>
      <c r="Y5" s="268"/>
      <c r="Z5" s="268"/>
      <c r="AA5" s="268"/>
      <c r="AB5" s="268"/>
    </row>
    <row r="6" spans="2:28" x14ac:dyDescent="0.3">
      <c r="B6" s="253">
        <f t="shared" ref="B6:B69" si="4">B5+1</f>
        <v>3</v>
      </c>
      <c r="C6" s="271" t="str">
        <f>IF('1. Questionnaire d''entretien '!R6="","N/A",'1. Questionnaire d''entretien '!R6)</f>
        <v>N/A</v>
      </c>
      <c r="D6" s="271" t="str">
        <f>IF('1. Questionnaire d''entretien '!T6="","N/A",'1. Questionnaire d''entretien '!T6)</f>
        <v>N/A</v>
      </c>
      <c r="E6" s="271" t="str">
        <f t="shared" si="0"/>
        <v>N/A</v>
      </c>
      <c r="F6" s="271" cm="1">
        <f t="array" ref="F6">_xlfn.IFS('1. Questionnaire d''entretien '!B6=1,1,'1. Questionnaire d''entretien '!B6=2,0.75,'1. Questionnaire d''entretien '!B6=3,0.5)</f>
        <v>1</v>
      </c>
      <c r="G6" s="273" t="str">
        <f t="shared" si="1"/>
        <v>N/A</v>
      </c>
      <c r="I6" s="261" t="s">
        <v>505</v>
      </c>
      <c r="J6" s="255">
        <f>SUMIF('1. Questionnaire d''entretien '!$C$4:$C$215,I6,'2. Note de maturité'!$G$4:$G$215)</f>
        <v>0</v>
      </c>
      <c r="K6" s="255">
        <f>SUMIFS($F$4:$F$215,'1. Questionnaire d''entretien '!$C$4:$C$215,'2. Note de maturité'!I6,'2. Note de maturité'!$E$4:$E$215,"&lt;&gt;N/A")</f>
        <v>0</v>
      </c>
      <c r="L6" s="262" t="e">
        <f t="shared" si="2"/>
        <v>#DIV/0!</v>
      </c>
      <c r="N6" s="261" t="s">
        <v>505</v>
      </c>
      <c r="O6" s="264" t="str">
        <f t="shared" si="3"/>
        <v>N/A</v>
      </c>
      <c r="R6" s="268"/>
      <c r="S6" s="268"/>
      <c r="T6" s="268"/>
      <c r="U6" s="268"/>
      <c r="V6" s="268"/>
      <c r="W6" s="268"/>
      <c r="X6" s="268"/>
      <c r="Y6" s="268"/>
      <c r="Z6" s="268"/>
      <c r="AA6" s="268"/>
      <c r="AB6" s="268"/>
    </row>
    <row r="7" spans="2:28" x14ac:dyDescent="0.3">
      <c r="B7" s="253">
        <f t="shared" si="4"/>
        <v>4</v>
      </c>
      <c r="C7" s="271" t="str">
        <f>IF('1. Questionnaire d''entretien '!R7="","N/A",'1. Questionnaire d''entretien '!R7)</f>
        <v>N/A</v>
      </c>
      <c r="D7" s="271" t="str">
        <f>IF('1. Questionnaire d''entretien '!T7="","N/A",'1. Questionnaire d''entretien '!T7)</f>
        <v>N/A</v>
      </c>
      <c r="E7" s="271" t="str">
        <f t="shared" si="0"/>
        <v>N/A</v>
      </c>
      <c r="F7" s="271" cm="1">
        <f t="array" ref="F7">_xlfn.IFS('1. Questionnaire d''entretien '!B7=1,1,'1. Questionnaire d''entretien '!B7=2,0.75,'1. Questionnaire d''entretien '!B7=3,0.5)</f>
        <v>1</v>
      </c>
      <c r="G7" s="273" t="str">
        <f t="shared" si="1"/>
        <v>N/A</v>
      </c>
      <c r="I7" s="261" t="s">
        <v>597</v>
      </c>
      <c r="J7" s="255">
        <f>SUMIF('1. Questionnaire d''entretien '!$C$4:$C$215,I7,'2. Note de maturité'!$G$4:$G$215)</f>
        <v>0</v>
      </c>
      <c r="K7" s="255">
        <f>SUMIFS($F$4:$F$215,'1. Questionnaire d''entretien '!$C$4:$C$215,'2. Note de maturité'!I7,'2. Note de maturité'!$E$4:$E$215,"&lt;&gt;N/A")</f>
        <v>0</v>
      </c>
      <c r="L7" s="262" t="e">
        <f t="shared" si="2"/>
        <v>#DIV/0!</v>
      </c>
      <c r="N7" s="261" t="s">
        <v>597</v>
      </c>
      <c r="O7" s="264" t="str">
        <f t="shared" si="3"/>
        <v>N/A</v>
      </c>
      <c r="R7" s="268"/>
      <c r="S7" s="268"/>
      <c r="T7" s="268"/>
      <c r="U7" s="268"/>
      <c r="V7" s="268"/>
      <c r="W7" s="268"/>
      <c r="X7" s="268"/>
      <c r="Y7" s="268"/>
      <c r="Z7" s="268"/>
      <c r="AA7" s="268"/>
      <c r="AB7" s="268"/>
    </row>
    <row r="8" spans="2:28" x14ac:dyDescent="0.3">
      <c r="B8" s="253">
        <f t="shared" si="4"/>
        <v>5</v>
      </c>
      <c r="C8" s="271" t="str">
        <f>IF('1. Questionnaire d''entretien '!R8="","N/A",'1. Questionnaire d''entretien '!R8)</f>
        <v>N/A</v>
      </c>
      <c r="D8" s="271" t="str">
        <f>IF('1. Questionnaire d''entretien '!T8="","N/A",'1. Questionnaire d''entretien '!T8)</f>
        <v>N/A</v>
      </c>
      <c r="E8" s="271" t="str">
        <f t="shared" si="0"/>
        <v>N/A</v>
      </c>
      <c r="F8" s="271" cm="1">
        <f t="array" ref="F8">_xlfn.IFS('1. Questionnaire d''entretien '!B8=1,1,'1. Questionnaire d''entretien '!B8=2,0.75,'1. Questionnaire d''entretien '!B8=3,0.5)</f>
        <v>0.75</v>
      </c>
      <c r="G8" s="273" t="str">
        <f t="shared" si="1"/>
        <v>N/A</v>
      </c>
      <c r="I8" s="261" t="s">
        <v>507</v>
      </c>
      <c r="J8" s="255">
        <f>SUMIF('1. Questionnaire d''entretien '!$C$4:$C$215,I8,'2. Note de maturité'!$G$4:$G$215)</f>
        <v>0</v>
      </c>
      <c r="K8" s="255">
        <f>SUMIFS($F$4:$F$215,'1. Questionnaire d''entretien '!$C$4:$C$215,'2. Note de maturité'!I8,'2. Note de maturité'!$E$4:$E$215,"&lt;&gt;N/A")</f>
        <v>0</v>
      </c>
      <c r="L8" s="262" t="e">
        <f t="shared" si="2"/>
        <v>#DIV/0!</v>
      </c>
      <c r="N8" s="261" t="s">
        <v>507</v>
      </c>
      <c r="O8" s="264" t="str">
        <f t="shared" si="3"/>
        <v>N/A</v>
      </c>
      <c r="R8" s="268"/>
      <c r="S8" s="268"/>
      <c r="T8" s="268"/>
      <c r="U8" s="268"/>
      <c r="V8" s="268"/>
      <c r="W8" s="268"/>
      <c r="X8" s="268"/>
      <c r="Y8" s="268"/>
      <c r="Z8" s="268"/>
      <c r="AA8" s="268"/>
      <c r="AB8" s="268"/>
    </row>
    <row r="9" spans="2:28" x14ac:dyDescent="0.3">
      <c r="B9" s="253">
        <f t="shared" si="4"/>
        <v>6</v>
      </c>
      <c r="C9" s="271" t="str">
        <f>IF('1. Questionnaire d''entretien '!R9="","N/A",'1. Questionnaire d''entretien '!R9)</f>
        <v>N/A</v>
      </c>
      <c r="D9" s="271" t="str">
        <f>IF('1. Questionnaire d''entretien '!T9="","N/A",'1. Questionnaire d''entretien '!T9)</f>
        <v>N/A</v>
      </c>
      <c r="E9" s="271" t="str">
        <f t="shared" si="0"/>
        <v>N/A</v>
      </c>
      <c r="F9" s="271" cm="1">
        <f t="array" ref="F9">_xlfn.IFS('1. Questionnaire d''entretien '!B9=1,1,'1. Questionnaire d''entretien '!B9=2,0.75,'1. Questionnaire d''entretien '!B9=3,0.5)</f>
        <v>1</v>
      </c>
      <c r="G9" s="273" t="str">
        <f t="shared" si="1"/>
        <v>N/A</v>
      </c>
      <c r="I9" s="261" t="s">
        <v>508</v>
      </c>
      <c r="J9" s="255">
        <f>SUMIF('1. Questionnaire d''entretien '!$C$4:$C$215,I9,'2. Note de maturité'!$G$4:$G$215)</f>
        <v>0</v>
      </c>
      <c r="K9" s="255">
        <f>SUMIFS($F$4:$F$215,'1. Questionnaire d''entretien '!$C$4:$C$215,'2. Note de maturité'!I9,'2. Note de maturité'!$E$4:$E$215,"&lt;&gt;N/A")</f>
        <v>0</v>
      </c>
      <c r="L9" s="262" t="e">
        <f t="shared" si="2"/>
        <v>#DIV/0!</v>
      </c>
      <c r="N9" s="261" t="s">
        <v>508</v>
      </c>
      <c r="O9" s="264" t="str">
        <f t="shared" si="3"/>
        <v>N/A</v>
      </c>
      <c r="R9" s="268"/>
      <c r="S9" s="268"/>
      <c r="T9" s="268"/>
      <c r="U9" s="268"/>
      <c r="V9" s="268"/>
      <c r="W9" s="268"/>
      <c r="X9" s="268"/>
      <c r="Y9" s="268"/>
      <c r="Z9" s="268"/>
      <c r="AA9" s="268"/>
      <c r="AB9" s="268"/>
    </row>
    <row r="10" spans="2:28" ht="15" thickBot="1" x14ac:dyDescent="0.35">
      <c r="B10" s="253">
        <f t="shared" si="4"/>
        <v>7</v>
      </c>
      <c r="C10" s="271" t="str">
        <f>IF('1. Questionnaire d''entretien '!R10="","N/A",'1. Questionnaire d''entretien '!R10)</f>
        <v>N/A</v>
      </c>
      <c r="D10" s="271" t="str">
        <f>IF('1. Questionnaire d''entretien '!T10="","N/A",'1. Questionnaire d''entretien '!T10)</f>
        <v>N/A</v>
      </c>
      <c r="E10" s="271" t="str">
        <f t="shared" si="0"/>
        <v>N/A</v>
      </c>
      <c r="F10" s="271" cm="1">
        <f t="array" ref="F10">_xlfn.IFS('1. Questionnaire d''entretien '!B10=1,1,'1. Questionnaire d''entretien '!B10=2,0.75,'1. Questionnaire d''entretien '!B10=3,0.5)</f>
        <v>1</v>
      </c>
      <c r="G10" s="273" t="str">
        <f t="shared" si="1"/>
        <v>N/A</v>
      </c>
      <c r="I10" s="263" t="s">
        <v>538</v>
      </c>
      <c r="J10" s="276">
        <f>SUMIF('1. Questionnaire d''entretien '!$C$4:$C$215,I10,'2. Note de maturité'!$G$4:$G$215)</f>
        <v>0</v>
      </c>
      <c r="K10" s="276">
        <f>SUMIFS($F$4:$F$215,'1. Questionnaire d''entretien '!$C$4:$C$215,'2. Note de maturité'!I10,'2. Note de maturité'!$E$4:$E$215,"&lt;&gt;N/A")</f>
        <v>0</v>
      </c>
      <c r="L10" s="277" t="e">
        <f t="shared" si="2"/>
        <v>#DIV/0!</v>
      </c>
      <c r="N10" s="263" t="s">
        <v>538</v>
      </c>
      <c r="O10" s="265" t="str">
        <f t="shared" si="3"/>
        <v>N/A</v>
      </c>
      <c r="R10" s="268"/>
      <c r="S10" s="268"/>
      <c r="T10" s="268"/>
      <c r="U10" s="268"/>
      <c r="V10" s="268"/>
      <c r="W10" s="268"/>
      <c r="X10" s="268"/>
      <c r="Y10" s="268"/>
      <c r="Z10" s="268"/>
      <c r="AA10" s="268"/>
      <c r="AB10" s="268"/>
    </row>
    <row r="11" spans="2:28" x14ac:dyDescent="0.3">
      <c r="B11" s="253">
        <f t="shared" si="4"/>
        <v>8</v>
      </c>
      <c r="C11" s="271" t="str">
        <f>IF('1. Questionnaire d''entretien '!R11="","N/A",'1. Questionnaire d''entretien '!R11)</f>
        <v>N/A</v>
      </c>
      <c r="D11" s="271" t="str">
        <f>IF('1. Questionnaire d''entretien '!T11="","N/A",'1. Questionnaire d''entretien '!T11)</f>
        <v>N/A</v>
      </c>
      <c r="E11" s="271" t="str">
        <f t="shared" si="0"/>
        <v>N/A</v>
      </c>
      <c r="F11" s="271" cm="1">
        <f t="array" ref="F11">_xlfn.IFS('1. Questionnaire d''entretien '!B11=1,1,'1. Questionnaire d''entretien '!B11=2,0.75,'1. Questionnaire d''entretien '!B11=3,0.5)</f>
        <v>1</v>
      </c>
      <c r="G11" s="273" t="str">
        <f t="shared" si="1"/>
        <v>N/A</v>
      </c>
      <c r="R11" s="268"/>
      <c r="S11" s="268"/>
      <c r="T11" s="268"/>
      <c r="U11" s="268"/>
      <c r="V11" s="268"/>
      <c r="W11" s="268"/>
      <c r="X11" s="268"/>
      <c r="Y11" s="268"/>
      <c r="Z11" s="268"/>
      <c r="AA11" s="268"/>
      <c r="AB11" s="268"/>
    </row>
    <row r="12" spans="2:28" ht="15" thickBot="1" x14ac:dyDescent="0.35">
      <c r="B12" s="253">
        <f t="shared" si="4"/>
        <v>9</v>
      </c>
      <c r="C12" s="271" t="str">
        <f>IF('1. Questionnaire d''entretien '!R12="","N/A",'1. Questionnaire d''entretien '!R12)</f>
        <v>N/A</v>
      </c>
      <c r="D12" s="271" t="str">
        <f>IF('1. Questionnaire d''entretien '!T12="","N/A",'1. Questionnaire d''entretien '!T12)</f>
        <v>N/A</v>
      </c>
      <c r="E12" s="271" t="str">
        <f t="shared" si="0"/>
        <v>N/A</v>
      </c>
      <c r="F12" s="271" cm="1">
        <f t="array" ref="F12">_xlfn.IFS('1. Questionnaire d''entretien '!B12=1,1,'1. Questionnaire d''entretien '!B12=2,0.75,'1. Questionnaire d''entretien '!B12=3,0.5)</f>
        <v>0.75</v>
      </c>
      <c r="G12" s="273" t="str">
        <f t="shared" si="1"/>
        <v>N/A</v>
      </c>
      <c r="R12" s="268"/>
      <c r="S12" s="268"/>
      <c r="T12" s="268"/>
      <c r="U12" s="268"/>
      <c r="V12" s="268"/>
      <c r="W12" s="268"/>
      <c r="X12" s="268"/>
      <c r="Y12" s="268"/>
      <c r="Z12" s="268"/>
      <c r="AA12" s="268"/>
      <c r="AB12" s="268"/>
    </row>
    <row r="13" spans="2:28" x14ac:dyDescent="0.3">
      <c r="B13" s="253">
        <f t="shared" si="4"/>
        <v>10</v>
      </c>
      <c r="C13" s="271" t="str">
        <f>IF('1. Questionnaire d''entretien '!R13="","N/A",'1. Questionnaire d''entretien '!R13)</f>
        <v>N/A</v>
      </c>
      <c r="D13" s="271" t="str">
        <f>IF('1. Questionnaire d''entretien '!T13="","N/A",'1. Questionnaire d''entretien '!T13)</f>
        <v>N/A</v>
      </c>
      <c r="E13" s="271" t="str">
        <f t="shared" si="0"/>
        <v>N/A</v>
      </c>
      <c r="F13" s="271" cm="1">
        <f t="array" ref="F13">_xlfn.IFS('1. Questionnaire d''entretien '!B13=1,1,'1. Questionnaire d''entretien '!B13=2,0.75,'1. Questionnaire d''entretien '!B13=3,0.5)</f>
        <v>0.5</v>
      </c>
      <c r="G13" s="273" t="str">
        <f t="shared" si="1"/>
        <v>N/A</v>
      </c>
      <c r="N13" s="342" t="s">
        <v>718</v>
      </c>
      <c r="O13" s="343"/>
      <c r="R13" s="268"/>
      <c r="S13" s="268"/>
      <c r="T13" s="268"/>
      <c r="U13" s="268"/>
      <c r="V13" s="268"/>
      <c r="W13" s="268"/>
      <c r="X13" s="268"/>
      <c r="Y13" s="268"/>
      <c r="Z13" s="268"/>
      <c r="AA13" s="268"/>
      <c r="AB13" s="268"/>
    </row>
    <row r="14" spans="2:28" x14ac:dyDescent="0.3">
      <c r="B14" s="253">
        <f t="shared" si="4"/>
        <v>11</v>
      </c>
      <c r="C14" s="271" t="str">
        <f>IF('1. Questionnaire d''entretien '!R14="","N/A",'1. Questionnaire d''entretien '!R14)</f>
        <v>N/A</v>
      </c>
      <c r="D14" s="271" t="str">
        <f>IF('1. Questionnaire d''entretien '!T14="","N/A",'1. Questionnaire d''entretien '!T14)</f>
        <v>N/A</v>
      </c>
      <c r="E14" s="271" t="str">
        <f t="shared" si="0"/>
        <v>N/A</v>
      </c>
      <c r="F14" s="271" cm="1">
        <f t="array" ref="F14">_xlfn.IFS('1. Questionnaire d''entretien '!B14=1,1,'1. Questionnaire d''entretien '!B14=2,0.75,'1. Questionnaire d''entretien '!B14=3,0.5)</f>
        <v>0.5</v>
      </c>
      <c r="G14" s="273" t="str">
        <f t="shared" si="1"/>
        <v>N/A</v>
      </c>
      <c r="N14" s="344"/>
      <c r="O14" s="345"/>
      <c r="R14" s="268"/>
      <c r="S14" s="268"/>
      <c r="T14" s="268"/>
      <c r="U14" s="268"/>
      <c r="V14" s="268"/>
      <c r="W14" s="268"/>
      <c r="X14" s="268"/>
      <c r="Y14" s="268"/>
      <c r="Z14" s="268"/>
      <c r="AA14" s="268"/>
      <c r="AB14" s="268"/>
    </row>
    <row r="15" spans="2:28" ht="15" thickBot="1" x14ac:dyDescent="0.35">
      <c r="B15" s="253">
        <f t="shared" si="4"/>
        <v>12</v>
      </c>
      <c r="C15" s="271" t="str">
        <f>IF('1. Questionnaire d''entretien '!R15="","N/A",'1. Questionnaire d''entretien '!R15)</f>
        <v>N/A</v>
      </c>
      <c r="D15" s="271" t="str">
        <f>IF('1. Questionnaire d''entretien '!T15="","N/A",'1. Questionnaire d''entretien '!T15)</f>
        <v>N/A</v>
      </c>
      <c r="E15" s="271" t="str">
        <f t="shared" si="0"/>
        <v>N/A</v>
      </c>
      <c r="F15" s="271" cm="1">
        <f t="array" ref="F15">_xlfn.IFS('1. Questionnaire d''entretien '!B15=1,1,'1. Questionnaire d''entretien '!B15=2,0.75,'1. Questionnaire d''entretien '!B15=3,0.5)</f>
        <v>0.75</v>
      </c>
      <c r="G15" s="273" t="str">
        <f t="shared" si="1"/>
        <v>N/A</v>
      </c>
      <c r="N15" s="328" t="e">
        <f>AVERAGE(O4:O10)</f>
        <v>#DIV/0!</v>
      </c>
      <c r="O15" s="329"/>
      <c r="R15" s="268"/>
      <c r="S15" s="268"/>
      <c r="T15" s="268"/>
      <c r="U15" s="268"/>
      <c r="V15" s="268"/>
      <c r="W15" s="268"/>
      <c r="X15" s="268"/>
      <c r="Y15" s="268"/>
      <c r="Z15" s="268"/>
      <c r="AA15" s="268"/>
      <c r="AB15" s="268"/>
    </row>
    <row r="16" spans="2:28" x14ac:dyDescent="0.3">
      <c r="B16" s="253">
        <f t="shared" si="4"/>
        <v>13</v>
      </c>
      <c r="C16" s="271" t="str">
        <f>IF('1. Questionnaire d''entretien '!R16="","N/A",'1. Questionnaire d''entretien '!R16)</f>
        <v>N/A</v>
      </c>
      <c r="D16" s="271" t="str">
        <f>IF('1. Questionnaire d''entretien '!T16="","N/A",'1. Questionnaire d''entretien '!T16)</f>
        <v>N/A</v>
      </c>
      <c r="E16" s="271" t="str">
        <f t="shared" si="0"/>
        <v>N/A</v>
      </c>
      <c r="F16" s="271" cm="1">
        <f t="array" ref="F16">_xlfn.IFS('1. Questionnaire d''entretien '!B16=1,1,'1. Questionnaire d''entretien '!B16=2,0.75,'1. Questionnaire d''entretien '!B16=3,0.5)</f>
        <v>0.75</v>
      </c>
      <c r="G16" s="273" t="str">
        <f t="shared" si="1"/>
        <v>N/A</v>
      </c>
      <c r="R16" s="268"/>
      <c r="S16" s="268"/>
      <c r="T16" s="268"/>
      <c r="U16" s="268"/>
      <c r="V16" s="268"/>
      <c r="W16" s="268"/>
      <c r="X16" s="268"/>
      <c r="Y16" s="268"/>
      <c r="Z16" s="268"/>
      <c r="AA16" s="268"/>
      <c r="AB16" s="268"/>
    </row>
    <row r="17" spans="2:28" x14ac:dyDescent="0.3">
      <c r="B17" s="253">
        <f t="shared" si="4"/>
        <v>14</v>
      </c>
      <c r="C17" s="271" t="str">
        <f>IF('1. Questionnaire d''entretien '!R17="","N/A",'1. Questionnaire d''entretien '!R17)</f>
        <v>N/A</v>
      </c>
      <c r="D17" s="271" t="str">
        <f>IF('1. Questionnaire d''entretien '!T17="","N/A",'1. Questionnaire d''entretien '!T17)</f>
        <v>N/A</v>
      </c>
      <c r="E17" s="271" t="str">
        <f t="shared" si="0"/>
        <v>N/A</v>
      </c>
      <c r="F17" s="271" cm="1">
        <f t="array" ref="F17">_xlfn.IFS('1. Questionnaire d''entretien '!B17=1,1,'1. Questionnaire d''entretien '!B17=2,0.75,'1. Questionnaire d''entretien '!B17=3,0.5)</f>
        <v>1</v>
      </c>
      <c r="G17" s="273" t="str">
        <f t="shared" si="1"/>
        <v>N/A</v>
      </c>
      <c r="R17" s="268"/>
      <c r="S17" s="268"/>
      <c r="T17" s="268"/>
      <c r="U17" s="268"/>
      <c r="V17" s="268"/>
      <c r="W17" s="268"/>
      <c r="X17" s="268"/>
      <c r="Y17" s="268"/>
      <c r="Z17" s="268"/>
      <c r="AA17" s="268"/>
      <c r="AB17" s="268"/>
    </row>
    <row r="18" spans="2:28" x14ac:dyDescent="0.3">
      <c r="B18" s="253">
        <f t="shared" si="4"/>
        <v>15</v>
      </c>
      <c r="C18" s="271" t="str">
        <f>IF('1. Questionnaire d''entretien '!R18="","N/A",'1. Questionnaire d''entretien '!R18)</f>
        <v>N/A</v>
      </c>
      <c r="D18" s="271" t="str">
        <f>IF('1. Questionnaire d''entretien '!T18="","N/A",'1. Questionnaire d''entretien '!T18)</f>
        <v>N/A</v>
      </c>
      <c r="E18" s="271" t="str">
        <f t="shared" si="0"/>
        <v>N/A</v>
      </c>
      <c r="F18" s="271" cm="1">
        <f t="array" ref="F18">_xlfn.IFS('1. Questionnaire d''entretien '!B18=1,1,'1. Questionnaire d''entretien '!B18=2,0.75,'1. Questionnaire d''entretien '!B18=3,0.5)</f>
        <v>1</v>
      </c>
      <c r="G18" s="273" t="str">
        <f t="shared" si="1"/>
        <v>N/A</v>
      </c>
      <c r="N18" s="244"/>
      <c r="O18" s="244"/>
      <c r="P18" s="244"/>
      <c r="Q18" s="244"/>
      <c r="R18" s="268"/>
      <c r="S18" s="268"/>
      <c r="T18" s="268"/>
      <c r="U18" s="268"/>
      <c r="V18" s="268"/>
      <c r="W18" s="268"/>
      <c r="X18" s="268"/>
      <c r="Y18" s="268"/>
      <c r="Z18" s="268"/>
      <c r="AA18" s="268"/>
      <c r="AB18" s="268"/>
    </row>
    <row r="19" spans="2:28" x14ac:dyDescent="0.3">
      <c r="B19" s="253">
        <f t="shared" si="4"/>
        <v>16</v>
      </c>
      <c r="C19" s="271" t="str">
        <f>IF('1. Questionnaire d''entretien '!R19="","N/A",'1. Questionnaire d''entretien '!R19)</f>
        <v>N/A</v>
      </c>
      <c r="D19" s="271" t="str">
        <f>IF('1. Questionnaire d''entretien '!T19="","N/A",'1. Questionnaire d''entretien '!T19)</f>
        <v>N/A</v>
      </c>
      <c r="E19" s="271" t="str">
        <f t="shared" si="0"/>
        <v>N/A</v>
      </c>
      <c r="F19" s="271" cm="1">
        <f t="array" ref="F19">_xlfn.IFS('1. Questionnaire d''entretien '!B19=1,1,'1. Questionnaire d''entretien '!B19=2,0.75,'1. Questionnaire d''entretien '!B19=3,0.5)</f>
        <v>0.75</v>
      </c>
      <c r="G19" s="273" t="str">
        <f t="shared" si="1"/>
        <v>N/A</v>
      </c>
      <c r="N19" s="244"/>
      <c r="O19" s="244"/>
      <c r="P19" s="244"/>
      <c r="Q19" s="244"/>
      <c r="R19" s="268"/>
      <c r="S19" s="268"/>
      <c r="T19" s="268"/>
      <c r="U19" s="268"/>
      <c r="V19" s="268"/>
      <c r="W19" s="268"/>
      <c r="X19" s="268"/>
      <c r="Y19" s="268"/>
      <c r="Z19" s="268"/>
      <c r="AA19" s="268"/>
      <c r="AB19" s="268"/>
    </row>
    <row r="20" spans="2:28" x14ac:dyDescent="0.3">
      <c r="B20" s="253">
        <f t="shared" si="4"/>
        <v>17</v>
      </c>
      <c r="C20" s="271" t="str">
        <f>IF('1. Questionnaire d''entretien '!R20="","N/A",'1. Questionnaire d''entretien '!R20)</f>
        <v>N/A</v>
      </c>
      <c r="D20" s="271" t="str">
        <f>IF('1. Questionnaire d''entretien '!T20="","N/A",'1. Questionnaire d''entretien '!T20)</f>
        <v>N/A</v>
      </c>
      <c r="E20" s="271" t="str">
        <f t="shared" si="0"/>
        <v>N/A</v>
      </c>
      <c r="F20" s="271" cm="1">
        <f t="array" ref="F20">_xlfn.IFS('1. Questionnaire d''entretien '!B20=1,1,'1. Questionnaire d''entretien '!B20=2,0.75,'1. Questionnaire d''entretien '!B20=3,0.5)</f>
        <v>0.75</v>
      </c>
      <c r="G20" s="273" t="str">
        <f t="shared" si="1"/>
        <v>N/A</v>
      </c>
      <c r="N20" s="244"/>
      <c r="O20" s="244"/>
      <c r="P20" s="244"/>
      <c r="Q20" s="244"/>
      <c r="R20" s="268"/>
      <c r="S20" s="268"/>
      <c r="T20" s="268"/>
      <c r="U20" s="268"/>
      <c r="V20" s="268"/>
      <c r="W20" s="268"/>
      <c r="X20" s="268"/>
      <c r="Y20" s="268"/>
      <c r="Z20" s="268"/>
      <c r="AA20" s="268"/>
      <c r="AB20" s="268"/>
    </row>
    <row r="21" spans="2:28" x14ac:dyDescent="0.3">
      <c r="B21" s="253">
        <f t="shared" si="4"/>
        <v>18</v>
      </c>
      <c r="C21" s="271" t="str">
        <f>IF('1. Questionnaire d''entretien '!R21="","N/A",'1. Questionnaire d''entretien '!R21)</f>
        <v>N/A</v>
      </c>
      <c r="D21" s="271" t="str">
        <f>IF('1. Questionnaire d''entretien '!T21="","N/A",'1. Questionnaire d''entretien '!T21)</f>
        <v>N/A</v>
      </c>
      <c r="E21" s="271" t="str">
        <f t="shared" si="0"/>
        <v>N/A</v>
      </c>
      <c r="F21" s="271" cm="1">
        <f t="array" ref="F21">_xlfn.IFS('1. Questionnaire d''entretien '!B21=1,1,'1. Questionnaire d''entretien '!B21=2,0.75,'1. Questionnaire d''entretien '!B21=3,0.5)</f>
        <v>0.75</v>
      </c>
      <c r="G21" s="273" t="str">
        <f t="shared" si="1"/>
        <v>N/A</v>
      </c>
      <c r="N21" s="244"/>
      <c r="O21" s="244"/>
      <c r="P21" s="244"/>
      <c r="Q21" s="244"/>
      <c r="R21" s="268"/>
      <c r="S21" s="268"/>
      <c r="T21" s="268"/>
      <c r="U21" s="268"/>
      <c r="V21" s="268"/>
      <c r="W21" s="268"/>
      <c r="X21" s="268"/>
      <c r="Y21" s="268"/>
      <c r="Z21" s="268"/>
      <c r="AA21" s="268"/>
      <c r="AB21" s="268"/>
    </row>
    <row r="22" spans="2:28" x14ac:dyDescent="0.3">
      <c r="B22" s="253">
        <f t="shared" si="4"/>
        <v>19</v>
      </c>
      <c r="C22" s="271" t="str">
        <f>IF('1. Questionnaire d''entretien '!R22="","N/A",'1. Questionnaire d''entretien '!R22)</f>
        <v>N/A</v>
      </c>
      <c r="D22" s="271" t="str">
        <f>IF('1. Questionnaire d''entretien '!T22="","N/A",'1. Questionnaire d''entretien '!T22)</f>
        <v>N/A</v>
      </c>
      <c r="E22" s="271" t="str">
        <f t="shared" si="0"/>
        <v>N/A</v>
      </c>
      <c r="F22" s="271" cm="1">
        <f t="array" ref="F22">_xlfn.IFS('1. Questionnaire d''entretien '!B22=1,1,'1. Questionnaire d''entretien '!B22=2,0.75,'1. Questionnaire d''entretien '!B22=3,0.5)</f>
        <v>0.5</v>
      </c>
      <c r="G22" s="273" t="str">
        <f t="shared" si="1"/>
        <v>N/A</v>
      </c>
      <c r="N22" s="244"/>
      <c r="O22" s="244"/>
      <c r="P22" s="244"/>
      <c r="Q22" s="244"/>
      <c r="R22" s="268"/>
      <c r="S22" s="268"/>
      <c r="T22" s="268"/>
      <c r="U22" s="268"/>
      <c r="V22" s="268"/>
      <c r="W22" s="268"/>
      <c r="X22" s="268"/>
      <c r="Y22" s="268"/>
      <c r="Z22" s="268"/>
      <c r="AA22" s="268"/>
      <c r="AB22" s="268"/>
    </row>
    <row r="23" spans="2:28" x14ac:dyDescent="0.3">
      <c r="B23" s="253">
        <f t="shared" si="4"/>
        <v>20</v>
      </c>
      <c r="C23" s="271" t="str">
        <f>IF('1. Questionnaire d''entretien '!R23="","N/A",'1. Questionnaire d''entretien '!R23)</f>
        <v>N/A</v>
      </c>
      <c r="D23" s="271" t="str">
        <f>IF('1. Questionnaire d''entretien '!T23="","N/A",'1. Questionnaire d''entretien '!T23)</f>
        <v>N/A</v>
      </c>
      <c r="E23" s="271" t="str">
        <f t="shared" si="0"/>
        <v>N/A</v>
      </c>
      <c r="F23" s="271" cm="1">
        <f t="array" ref="F23">_xlfn.IFS('1. Questionnaire d''entretien '!B23=1,1,'1. Questionnaire d''entretien '!B23=2,0.75,'1. Questionnaire d''entretien '!B23=3,0.5)</f>
        <v>0.75</v>
      </c>
      <c r="G23" s="273" t="str">
        <f t="shared" si="1"/>
        <v>N/A</v>
      </c>
      <c r="N23" s="244"/>
      <c r="O23" s="244"/>
      <c r="P23" s="244"/>
      <c r="Q23" s="244"/>
      <c r="R23" s="268"/>
      <c r="S23" s="268"/>
      <c r="T23" s="268"/>
      <c r="U23" s="268"/>
      <c r="V23" s="268"/>
      <c r="W23" s="268"/>
      <c r="X23" s="268"/>
      <c r="Y23" s="268"/>
      <c r="Z23" s="268"/>
      <c r="AA23" s="268"/>
      <c r="AB23" s="268"/>
    </row>
    <row r="24" spans="2:28" x14ac:dyDescent="0.3">
      <c r="B24" s="253">
        <f t="shared" si="4"/>
        <v>21</v>
      </c>
      <c r="C24" s="271" t="str">
        <f>IF('1. Questionnaire d''entretien '!R24="","N/A",'1. Questionnaire d''entretien '!R24)</f>
        <v>N/A</v>
      </c>
      <c r="D24" s="271" t="str">
        <f>IF('1. Questionnaire d''entretien '!T24="","N/A",'1. Questionnaire d''entretien '!T24)</f>
        <v>N/A</v>
      </c>
      <c r="E24" s="271" t="str">
        <f t="shared" si="0"/>
        <v>N/A</v>
      </c>
      <c r="F24" s="271" cm="1">
        <f t="array" ref="F24">_xlfn.IFS('1. Questionnaire d''entretien '!B24=1,1,'1. Questionnaire d''entretien '!B24=2,0.75,'1. Questionnaire d''entretien '!B24=3,0.5)</f>
        <v>0.75</v>
      </c>
      <c r="G24" s="273" t="str">
        <f t="shared" si="1"/>
        <v>N/A</v>
      </c>
      <c r="N24" s="244"/>
      <c r="O24" s="244"/>
      <c r="P24" s="244"/>
      <c r="Q24" s="244"/>
      <c r="R24" s="268"/>
      <c r="S24" s="268"/>
      <c r="T24" s="268"/>
      <c r="U24" s="268"/>
      <c r="V24" s="268"/>
      <c r="W24" s="268"/>
      <c r="X24" s="268"/>
      <c r="Y24" s="268"/>
      <c r="Z24" s="268"/>
      <c r="AA24" s="268"/>
      <c r="AB24" s="268"/>
    </row>
    <row r="25" spans="2:28" x14ac:dyDescent="0.3">
      <c r="B25" s="253">
        <f t="shared" si="4"/>
        <v>22</v>
      </c>
      <c r="C25" s="271" t="str">
        <f>IF('1. Questionnaire d''entretien '!R25="","N/A",'1. Questionnaire d''entretien '!R25)</f>
        <v>N/A</v>
      </c>
      <c r="D25" s="271" t="str">
        <f>IF('1. Questionnaire d''entretien '!T25="","N/A",'1. Questionnaire d''entretien '!T25)</f>
        <v>N/A</v>
      </c>
      <c r="E25" s="271" t="str">
        <f t="shared" si="0"/>
        <v>N/A</v>
      </c>
      <c r="F25" s="271" cm="1">
        <f t="array" ref="F25">_xlfn.IFS('1. Questionnaire d''entretien '!B25=1,1,'1. Questionnaire d''entretien '!B25=2,0.75,'1. Questionnaire d''entretien '!B25=3,0.5)</f>
        <v>0.75</v>
      </c>
      <c r="G25" s="273" t="str">
        <f t="shared" si="1"/>
        <v>N/A</v>
      </c>
      <c r="N25" s="244"/>
      <c r="O25" s="244"/>
      <c r="P25" s="244"/>
      <c r="Q25" s="244"/>
      <c r="R25" s="268"/>
      <c r="S25" s="268"/>
      <c r="T25" s="268"/>
      <c r="U25" s="268"/>
      <c r="V25" s="268"/>
      <c r="W25" s="268"/>
      <c r="X25" s="268"/>
      <c r="Y25" s="268"/>
      <c r="Z25" s="268"/>
      <c r="AA25" s="268"/>
      <c r="AB25" s="268"/>
    </row>
    <row r="26" spans="2:28" x14ac:dyDescent="0.3">
      <c r="B26" s="253">
        <f t="shared" si="4"/>
        <v>23</v>
      </c>
      <c r="C26" s="271" t="str">
        <f>IF('1. Questionnaire d''entretien '!R26="","N/A",'1. Questionnaire d''entretien '!R26)</f>
        <v>N/A</v>
      </c>
      <c r="D26" s="271" t="str">
        <f>IF('1. Questionnaire d''entretien '!T26="","N/A",'1. Questionnaire d''entretien '!T26)</f>
        <v>N/A</v>
      </c>
      <c r="E26" s="271" t="str">
        <f t="shared" si="0"/>
        <v>N/A</v>
      </c>
      <c r="F26" s="271" cm="1">
        <f t="array" ref="F26">_xlfn.IFS('1. Questionnaire d''entretien '!B26=1,1,'1. Questionnaire d''entretien '!B26=2,0.75,'1. Questionnaire d''entretien '!B26=3,0.5)</f>
        <v>0.75</v>
      </c>
      <c r="G26" s="273" t="str">
        <f t="shared" si="1"/>
        <v>N/A</v>
      </c>
      <c r="N26" s="244"/>
      <c r="O26" s="244"/>
      <c r="P26" s="244"/>
      <c r="Q26" s="244"/>
      <c r="R26" s="268"/>
      <c r="S26" s="268"/>
      <c r="T26" s="268"/>
      <c r="U26" s="268"/>
      <c r="V26" s="268"/>
      <c r="W26" s="268"/>
      <c r="X26" s="268"/>
      <c r="Y26" s="268"/>
      <c r="Z26" s="268"/>
      <c r="AA26" s="268"/>
      <c r="AB26" s="268"/>
    </row>
    <row r="27" spans="2:28" x14ac:dyDescent="0.3">
      <c r="B27" s="253">
        <f t="shared" si="4"/>
        <v>24</v>
      </c>
      <c r="C27" s="271" t="str">
        <f>IF('1. Questionnaire d''entretien '!R27="","N/A",'1. Questionnaire d''entretien '!R27)</f>
        <v>N/A</v>
      </c>
      <c r="D27" s="271" t="str">
        <f>IF('1. Questionnaire d''entretien '!T27="","N/A",'1. Questionnaire d''entretien '!T27)</f>
        <v>N/A</v>
      </c>
      <c r="E27" s="271" t="str">
        <f t="shared" si="0"/>
        <v>N/A</v>
      </c>
      <c r="F27" s="271" cm="1">
        <f t="array" ref="F27">_xlfn.IFS('1. Questionnaire d''entretien '!B27=1,1,'1. Questionnaire d''entretien '!B27=2,0.75,'1. Questionnaire d''entretien '!B27=3,0.5)</f>
        <v>0.75</v>
      </c>
      <c r="G27" s="273" t="str">
        <f t="shared" si="1"/>
        <v>N/A</v>
      </c>
      <c r="N27" s="244"/>
      <c r="O27" s="244"/>
      <c r="P27" s="244"/>
      <c r="Q27" s="244"/>
      <c r="R27" s="268"/>
      <c r="S27" s="268"/>
      <c r="T27" s="268"/>
      <c r="U27" s="268"/>
      <c r="V27" s="268"/>
      <c r="W27" s="268"/>
      <c r="X27" s="268"/>
      <c r="Y27" s="268"/>
      <c r="Z27" s="268"/>
      <c r="AA27" s="268"/>
      <c r="AB27" s="268"/>
    </row>
    <row r="28" spans="2:28" x14ac:dyDescent="0.3">
      <c r="B28" s="253">
        <f t="shared" si="4"/>
        <v>25</v>
      </c>
      <c r="C28" s="271" t="str">
        <f>IF('1. Questionnaire d''entretien '!R28="","N/A",'1. Questionnaire d''entretien '!R28)</f>
        <v>N/A</v>
      </c>
      <c r="D28" s="271" t="str">
        <f>IF('1. Questionnaire d''entretien '!T28="","N/A",'1. Questionnaire d''entretien '!T28)</f>
        <v>N/A</v>
      </c>
      <c r="E28" s="271" t="str">
        <f t="shared" si="0"/>
        <v>N/A</v>
      </c>
      <c r="F28" s="271" cm="1">
        <f t="array" ref="F28">_xlfn.IFS('1. Questionnaire d''entretien '!B28=1,1,'1. Questionnaire d''entretien '!B28=2,0.75,'1. Questionnaire d''entretien '!B28=3,0.5)</f>
        <v>1</v>
      </c>
      <c r="G28" s="273" t="str">
        <f t="shared" si="1"/>
        <v>N/A</v>
      </c>
      <c r="N28" s="244"/>
      <c r="O28" s="244"/>
      <c r="P28" s="244"/>
      <c r="Q28" s="244"/>
      <c r="R28" s="268"/>
      <c r="S28" s="268"/>
      <c r="T28" s="268"/>
      <c r="U28" s="268"/>
      <c r="V28" s="268"/>
      <c r="W28" s="268"/>
      <c r="X28" s="268"/>
      <c r="Y28" s="268"/>
      <c r="Z28" s="268"/>
      <c r="AA28" s="268"/>
      <c r="AB28" s="268"/>
    </row>
    <row r="29" spans="2:28" x14ac:dyDescent="0.3">
      <c r="B29" s="253">
        <f t="shared" si="4"/>
        <v>26</v>
      </c>
      <c r="C29" s="271" t="str">
        <f>IF('1. Questionnaire d''entretien '!R29="","N/A",'1. Questionnaire d''entretien '!R29)</f>
        <v>N/A</v>
      </c>
      <c r="D29" s="271" t="str">
        <f>IF('1. Questionnaire d''entretien '!T29="","N/A",'1. Questionnaire d''entretien '!T29)</f>
        <v>N/A</v>
      </c>
      <c r="E29" s="271" t="str">
        <f t="shared" si="0"/>
        <v>N/A</v>
      </c>
      <c r="F29" s="271" cm="1">
        <f t="array" ref="F29">_xlfn.IFS('1. Questionnaire d''entretien '!B29=1,1,'1. Questionnaire d''entretien '!B29=2,0.75,'1. Questionnaire d''entretien '!B29=3,0.5)</f>
        <v>1</v>
      </c>
      <c r="G29" s="273" t="str">
        <f t="shared" si="1"/>
        <v>N/A</v>
      </c>
      <c r="N29" s="244"/>
      <c r="O29" s="244"/>
      <c r="P29" s="244"/>
      <c r="Q29" s="244"/>
      <c r="R29" s="268"/>
      <c r="S29" s="268"/>
      <c r="T29" s="268"/>
      <c r="U29" s="268"/>
      <c r="V29" s="268"/>
      <c r="W29" s="268"/>
      <c r="X29" s="268"/>
      <c r="Y29" s="268"/>
      <c r="Z29" s="268"/>
      <c r="AA29" s="268"/>
      <c r="AB29" s="268"/>
    </row>
    <row r="30" spans="2:28" x14ac:dyDescent="0.3">
      <c r="B30" s="253">
        <f t="shared" si="4"/>
        <v>27</v>
      </c>
      <c r="C30" s="271" t="str">
        <f>IF('1. Questionnaire d''entretien '!R30="","N/A",'1. Questionnaire d''entretien '!R30)</f>
        <v>N/A</v>
      </c>
      <c r="D30" s="271" t="str">
        <f>IF('1. Questionnaire d''entretien '!T30="","N/A",'1. Questionnaire d''entretien '!T30)</f>
        <v>N/A</v>
      </c>
      <c r="E30" s="271" t="str">
        <f t="shared" si="0"/>
        <v>N/A</v>
      </c>
      <c r="F30" s="271" cm="1">
        <f t="array" ref="F30">_xlfn.IFS('1. Questionnaire d''entretien '!B30=1,1,'1. Questionnaire d''entretien '!B30=2,0.75,'1. Questionnaire d''entretien '!B30=3,0.5)</f>
        <v>1</v>
      </c>
      <c r="G30" s="273" t="str">
        <f t="shared" si="1"/>
        <v>N/A</v>
      </c>
      <c r="N30" s="244"/>
      <c r="O30" s="244"/>
      <c r="P30" s="244"/>
      <c r="Q30" s="244"/>
      <c r="R30" s="244"/>
      <c r="S30" s="244"/>
    </row>
    <row r="31" spans="2:28" x14ac:dyDescent="0.3">
      <c r="B31" s="253">
        <f t="shared" si="4"/>
        <v>28</v>
      </c>
      <c r="C31" s="271" t="str">
        <f>IF('1. Questionnaire d''entretien '!R31="","N/A",'1. Questionnaire d''entretien '!R31)</f>
        <v>N/A</v>
      </c>
      <c r="D31" s="271" t="str">
        <f>IF('1. Questionnaire d''entretien '!T31="","N/A",'1. Questionnaire d''entretien '!T31)</f>
        <v>N/A</v>
      </c>
      <c r="E31" s="271" t="str">
        <f t="shared" si="0"/>
        <v>N/A</v>
      </c>
      <c r="F31" s="271" cm="1">
        <f t="array" ref="F31">_xlfn.IFS('1. Questionnaire d''entretien '!B31=1,1,'1. Questionnaire d''entretien '!B31=2,0.75,'1. Questionnaire d''entretien '!B31=3,0.5)</f>
        <v>1</v>
      </c>
      <c r="G31" s="273" t="str">
        <f t="shared" si="1"/>
        <v>N/A</v>
      </c>
      <c r="N31" s="244"/>
      <c r="O31" s="244"/>
      <c r="P31" s="244"/>
      <c r="Q31" s="244"/>
      <c r="R31" s="244"/>
      <c r="S31" s="244"/>
    </row>
    <row r="32" spans="2:28" x14ac:dyDescent="0.3">
      <c r="B32" s="253">
        <f t="shared" si="4"/>
        <v>29</v>
      </c>
      <c r="C32" s="271" t="str">
        <f>IF('1. Questionnaire d''entretien '!R32="","N/A",'1. Questionnaire d''entretien '!R32)</f>
        <v>N/A</v>
      </c>
      <c r="D32" s="271" t="str">
        <f>IF('1. Questionnaire d''entretien '!T32="","N/A",'1. Questionnaire d''entretien '!T32)</f>
        <v>N/A</v>
      </c>
      <c r="E32" s="271" t="str">
        <f t="shared" si="0"/>
        <v>N/A</v>
      </c>
      <c r="F32" s="271" cm="1">
        <f t="array" ref="F32">_xlfn.IFS('1. Questionnaire d''entretien '!B32=1,1,'1. Questionnaire d''entretien '!B32=2,0.75,'1. Questionnaire d''entretien '!B32=3,0.5)</f>
        <v>0.5</v>
      </c>
      <c r="G32" s="273" t="str">
        <f t="shared" si="1"/>
        <v>N/A</v>
      </c>
      <c r="N32" s="244"/>
      <c r="O32" s="244"/>
      <c r="P32" s="244"/>
      <c r="Q32" s="244"/>
      <c r="R32" s="244"/>
      <c r="S32" s="244"/>
    </row>
    <row r="33" spans="2:19" x14ac:dyDescent="0.3">
      <c r="B33" s="253">
        <f t="shared" si="4"/>
        <v>30</v>
      </c>
      <c r="C33" s="271" t="str">
        <f>IF('1. Questionnaire d''entretien '!R33="","N/A",'1. Questionnaire d''entretien '!R33)</f>
        <v>N/A</v>
      </c>
      <c r="D33" s="271" t="str">
        <f>IF('1. Questionnaire d''entretien '!T33="","N/A",'1. Questionnaire d''entretien '!T33)</f>
        <v>N/A</v>
      </c>
      <c r="E33" s="271" t="str">
        <f t="shared" si="0"/>
        <v>N/A</v>
      </c>
      <c r="F33" s="271" cm="1">
        <f t="array" ref="F33">_xlfn.IFS('1. Questionnaire d''entretien '!B33=1,1,'1. Questionnaire d''entretien '!B33=2,0.75,'1. Questionnaire d''entretien '!B33=3,0.5)</f>
        <v>0.5</v>
      </c>
      <c r="G33" s="273" t="str">
        <f t="shared" si="1"/>
        <v>N/A</v>
      </c>
      <c r="N33" s="244"/>
      <c r="O33" s="244"/>
      <c r="P33" s="244"/>
      <c r="Q33" s="244"/>
      <c r="R33" s="244"/>
      <c r="S33" s="244"/>
    </row>
    <row r="34" spans="2:19" x14ac:dyDescent="0.3">
      <c r="B34" s="253">
        <f t="shared" si="4"/>
        <v>31</v>
      </c>
      <c r="C34" s="271" t="str">
        <f>IF('1. Questionnaire d''entretien '!R34="","N/A",'1. Questionnaire d''entretien '!R34)</f>
        <v>N/A</v>
      </c>
      <c r="D34" s="271" t="str">
        <f>IF('1. Questionnaire d''entretien '!T34="","N/A",'1. Questionnaire d''entretien '!T34)</f>
        <v>N/A</v>
      </c>
      <c r="E34" s="271" t="str">
        <f t="shared" si="0"/>
        <v>N/A</v>
      </c>
      <c r="F34" s="271" cm="1">
        <f t="array" ref="F34">_xlfn.IFS('1. Questionnaire d''entretien '!B34=1,1,'1. Questionnaire d''entretien '!B34=2,0.75,'1. Questionnaire d''entretien '!B34=3,0.5)</f>
        <v>0.5</v>
      </c>
      <c r="G34" s="273" t="str">
        <f t="shared" si="1"/>
        <v>N/A</v>
      </c>
      <c r="N34" s="244"/>
      <c r="O34" s="244"/>
      <c r="P34" s="244"/>
      <c r="Q34" s="244"/>
      <c r="R34" s="244"/>
      <c r="S34" s="244"/>
    </row>
    <row r="35" spans="2:19" x14ac:dyDescent="0.3">
      <c r="B35" s="253">
        <f t="shared" si="4"/>
        <v>32</v>
      </c>
      <c r="C35" s="271" t="str">
        <f>IF('1. Questionnaire d''entretien '!R35="","N/A",'1. Questionnaire d''entretien '!R35)</f>
        <v>N/A</v>
      </c>
      <c r="D35" s="271" t="str">
        <f>IF('1. Questionnaire d''entretien '!T35="","N/A",'1. Questionnaire d''entretien '!T35)</f>
        <v>N/A</v>
      </c>
      <c r="E35" s="271" t="str">
        <f t="shared" si="0"/>
        <v>N/A</v>
      </c>
      <c r="F35" s="271" cm="1">
        <f t="array" ref="F35">_xlfn.IFS('1. Questionnaire d''entretien '!B35=1,1,'1. Questionnaire d''entretien '!B35=2,0.75,'1. Questionnaire d''entretien '!B35=3,0.5)</f>
        <v>0.5</v>
      </c>
      <c r="G35" s="273" t="str">
        <f t="shared" si="1"/>
        <v>N/A</v>
      </c>
      <c r="N35" s="244"/>
      <c r="O35" s="244"/>
      <c r="P35" s="244"/>
      <c r="Q35" s="244"/>
      <c r="R35" s="244"/>
      <c r="S35" s="244"/>
    </row>
    <row r="36" spans="2:19" x14ac:dyDescent="0.3">
      <c r="B36" s="253">
        <f t="shared" si="4"/>
        <v>33</v>
      </c>
      <c r="C36" s="271" t="str">
        <f>IF('1. Questionnaire d''entretien '!R36="","N/A",'1. Questionnaire d''entretien '!R36)</f>
        <v>N/A</v>
      </c>
      <c r="D36" s="271" t="str">
        <f>IF('1. Questionnaire d''entretien '!T36="","N/A",'1. Questionnaire d''entretien '!T36)</f>
        <v>N/A</v>
      </c>
      <c r="E36" s="271" t="str">
        <f t="shared" si="0"/>
        <v>N/A</v>
      </c>
      <c r="F36" s="271" cm="1">
        <f t="array" ref="F36">_xlfn.IFS('1. Questionnaire d''entretien '!B36=1,1,'1. Questionnaire d''entretien '!B36=2,0.75,'1. Questionnaire d''entretien '!B36=3,0.5)</f>
        <v>1</v>
      </c>
      <c r="G36" s="273" t="str">
        <f t="shared" si="1"/>
        <v>N/A</v>
      </c>
      <c r="N36" s="244"/>
      <c r="O36" s="244"/>
      <c r="P36" s="244"/>
      <c r="Q36" s="244"/>
      <c r="R36" s="244"/>
      <c r="S36" s="244"/>
    </row>
    <row r="37" spans="2:19" x14ac:dyDescent="0.3">
      <c r="B37" s="253">
        <f t="shared" si="4"/>
        <v>34</v>
      </c>
      <c r="C37" s="271" t="str">
        <f>IF('1. Questionnaire d''entretien '!R37="","N/A",'1. Questionnaire d''entretien '!R37)</f>
        <v>N/A</v>
      </c>
      <c r="D37" s="271" t="str">
        <f>IF('1. Questionnaire d''entretien '!T37="","N/A",'1. Questionnaire d''entretien '!T37)</f>
        <v>N/A</v>
      </c>
      <c r="E37" s="271" t="str">
        <f t="shared" si="0"/>
        <v>N/A</v>
      </c>
      <c r="F37" s="271" cm="1">
        <f t="array" ref="F37">_xlfn.IFS('1. Questionnaire d''entretien '!B37=1,1,'1. Questionnaire d''entretien '!B37=2,0.75,'1. Questionnaire d''entretien '!B37=3,0.5)</f>
        <v>0.75</v>
      </c>
      <c r="G37" s="273" t="str">
        <f t="shared" si="1"/>
        <v>N/A</v>
      </c>
      <c r="N37" s="244"/>
      <c r="O37" s="244"/>
      <c r="P37" s="244"/>
      <c r="Q37" s="244"/>
      <c r="R37" s="244"/>
      <c r="S37" s="244"/>
    </row>
    <row r="38" spans="2:19" x14ac:dyDescent="0.3">
      <c r="B38" s="253">
        <f t="shared" si="4"/>
        <v>35</v>
      </c>
      <c r="C38" s="271" t="str">
        <f>IF('1. Questionnaire d''entretien '!R38="","N/A",'1. Questionnaire d''entretien '!R38)</f>
        <v>N/A</v>
      </c>
      <c r="D38" s="271" t="str">
        <f>IF('1. Questionnaire d''entretien '!T38="","N/A",'1. Questionnaire d''entretien '!T38)</f>
        <v>N/A</v>
      </c>
      <c r="E38" s="271" t="str">
        <f t="shared" si="0"/>
        <v>N/A</v>
      </c>
      <c r="F38" s="271" cm="1">
        <f t="array" ref="F38">_xlfn.IFS('1. Questionnaire d''entretien '!B38=1,1,'1. Questionnaire d''entretien '!B38=2,0.75,'1. Questionnaire d''entretien '!B38=3,0.5)</f>
        <v>0.75</v>
      </c>
      <c r="G38" s="273" t="str">
        <f t="shared" si="1"/>
        <v>N/A</v>
      </c>
      <c r="N38" s="244"/>
      <c r="O38" s="244"/>
      <c r="P38" s="244"/>
      <c r="Q38" s="244"/>
      <c r="R38" s="244"/>
      <c r="S38" s="244"/>
    </row>
    <row r="39" spans="2:19" x14ac:dyDescent="0.3">
      <c r="B39" s="253">
        <f t="shared" si="4"/>
        <v>36</v>
      </c>
      <c r="C39" s="271" t="str">
        <f>IF('1. Questionnaire d''entretien '!R39="","N/A",'1. Questionnaire d''entretien '!R39)</f>
        <v>N/A</v>
      </c>
      <c r="D39" s="271" t="str">
        <f>IF('1. Questionnaire d''entretien '!T39="","N/A",'1. Questionnaire d''entretien '!T39)</f>
        <v>N/A</v>
      </c>
      <c r="E39" s="271" t="str">
        <f t="shared" si="0"/>
        <v>N/A</v>
      </c>
      <c r="F39" s="271" cm="1">
        <f t="array" ref="F39">_xlfn.IFS('1. Questionnaire d''entretien '!B39=1,1,'1. Questionnaire d''entretien '!B39=2,0.75,'1. Questionnaire d''entretien '!B39=3,0.5)</f>
        <v>1</v>
      </c>
      <c r="G39" s="273" t="str">
        <f t="shared" si="1"/>
        <v>N/A</v>
      </c>
      <c r="N39" s="244"/>
      <c r="O39" s="244"/>
      <c r="P39" s="244"/>
      <c r="Q39" s="244"/>
      <c r="R39" s="244"/>
      <c r="S39" s="244"/>
    </row>
    <row r="40" spans="2:19" x14ac:dyDescent="0.3">
      <c r="B40" s="253">
        <f t="shared" si="4"/>
        <v>37</v>
      </c>
      <c r="C40" s="271" t="str">
        <f>IF('1. Questionnaire d''entretien '!R40="","N/A",'1. Questionnaire d''entretien '!R40)</f>
        <v>N/A</v>
      </c>
      <c r="D40" s="271" t="str">
        <f>IF('1. Questionnaire d''entretien '!T40="","N/A",'1. Questionnaire d''entretien '!T40)</f>
        <v>N/A</v>
      </c>
      <c r="E40" s="271" t="str">
        <f t="shared" si="0"/>
        <v>N/A</v>
      </c>
      <c r="F40" s="271" cm="1">
        <f t="array" ref="F40">_xlfn.IFS('1. Questionnaire d''entretien '!B40=1,1,'1. Questionnaire d''entretien '!B40=2,0.75,'1. Questionnaire d''entretien '!B40=3,0.5)</f>
        <v>1</v>
      </c>
      <c r="G40" s="273" t="str">
        <f t="shared" si="1"/>
        <v>N/A</v>
      </c>
      <c r="N40" s="244"/>
      <c r="O40" s="244"/>
      <c r="P40" s="244"/>
      <c r="Q40" s="244"/>
      <c r="R40" s="244"/>
      <c r="S40" s="244"/>
    </row>
    <row r="41" spans="2:19" x14ac:dyDescent="0.3">
      <c r="B41" s="253">
        <f t="shared" si="4"/>
        <v>38</v>
      </c>
      <c r="C41" s="271" t="str">
        <f>IF('1. Questionnaire d''entretien '!R41="","N/A",'1. Questionnaire d''entretien '!R41)</f>
        <v>N/A</v>
      </c>
      <c r="D41" s="271" t="str">
        <f>IF('1. Questionnaire d''entretien '!T41="","N/A",'1. Questionnaire d''entretien '!T41)</f>
        <v>N/A</v>
      </c>
      <c r="E41" s="271" t="str">
        <f t="shared" si="0"/>
        <v>N/A</v>
      </c>
      <c r="F41" s="271" cm="1">
        <f t="array" ref="F41">_xlfn.IFS('1. Questionnaire d''entretien '!B41=1,1,'1. Questionnaire d''entretien '!B41=2,0.75,'1. Questionnaire d''entretien '!B41=3,0.5)</f>
        <v>0.5</v>
      </c>
      <c r="G41" s="273" t="str">
        <f t="shared" si="1"/>
        <v>N/A</v>
      </c>
      <c r="N41" s="244"/>
      <c r="O41" s="244"/>
      <c r="P41" s="244"/>
      <c r="Q41" s="244"/>
      <c r="R41" s="244"/>
      <c r="S41" s="244"/>
    </row>
    <row r="42" spans="2:19" x14ac:dyDescent="0.3">
      <c r="B42" s="253">
        <f t="shared" si="4"/>
        <v>39</v>
      </c>
      <c r="C42" s="271" t="str">
        <f>IF('1. Questionnaire d''entretien '!R42="","N/A",'1. Questionnaire d''entretien '!R42)</f>
        <v>N/A</v>
      </c>
      <c r="D42" s="271" t="str">
        <f>IF('1. Questionnaire d''entretien '!T42="","N/A",'1. Questionnaire d''entretien '!T42)</f>
        <v>N/A</v>
      </c>
      <c r="E42" s="271" t="str">
        <f t="shared" si="0"/>
        <v>N/A</v>
      </c>
      <c r="F42" s="271" cm="1">
        <f t="array" ref="F42">_xlfn.IFS('1. Questionnaire d''entretien '!B42=1,1,'1. Questionnaire d''entretien '!B42=2,0.75,'1. Questionnaire d''entretien '!B42=3,0.5)</f>
        <v>0.5</v>
      </c>
      <c r="G42" s="273" t="str">
        <f t="shared" si="1"/>
        <v>N/A</v>
      </c>
      <c r="N42" s="244"/>
      <c r="O42" s="244"/>
      <c r="P42" s="244"/>
      <c r="Q42" s="244"/>
      <c r="R42" s="244"/>
      <c r="S42" s="244"/>
    </row>
    <row r="43" spans="2:19" x14ac:dyDescent="0.3">
      <c r="B43" s="253">
        <f t="shared" si="4"/>
        <v>40</v>
      </c>
      <c r="C43" s="271" t="str">
        <f>IF('1. Questionnaire d''entretien '!R43="","N/A",'1. Questionnaire d''entretien '!R43)</f>
        <v>N/A</v>
      </c>
      <c r="D43" s="271" t="str">
        <f>IF('1. Questionnaire d''entretien '!T43="","N/A",'1. Questionnaire d''entretien '!T43)</f>
        <v>N/A</v>
      </c>
      <c r="E43" s="271" t="str">
        <f t="shared" si="0"/>
        <v>N/A</v>
      </c>
      <c r="F43" s="271" cm="1">
        <f t="array" ref="F43">_xlfn.IFS('1. Questionnaire d''entretien '!B43=1,1,'1. Questionnaire d''entretien '!B43=2,0.75,'1. Questionnaire d''entretien '!B43=3,0.5)</f>
        <v>0.5</v>
      </c>
      <c r="G43" s="273" t="str">
        <f t="shared" si="1"/>
        <v>N/A</v>
      </c>
      <c r="N43" s="244"/>
      <c r="O43" s="244"/>
      <c r="P43" s="244"/>
      <c r="Q43" s="244"/>
      <c r="R43" s="244"/>
      <c r="S43" s="244"/>
    </row>
    <row r="44" spans="2:19" x14ac:dyDescent="0.3">
      <c r="B44" s="253">
        <f t="shared" si="4"/>
        <v>41</v>
      </c>
      <c r="C44" s="271" t="str">
        <f>IF('1. Questionnaire d''entretien '!R44="","N/A",'1. Questionnaire d''entretien '!R44)</f>
        <v>N/A</v>
      </c>
      <c r="D44" s="271" t="str">
        <f>IF('1. Questionnaire d''entretien '!T44="","N/A",'1. Questionnaire d''entretien '!T44)</f>
        <v>N/A</v>
      </c>
      <c r="E44" s="271" t="str">
        <f t="shared" si="0"/>
        <v>N/A</v>
      </c>
      <c r="F44" s="271" cm="1">
        <f t="array" ref="F44">_xlfn.IFS('1. Questionnaire d''entretien '!B44=1,1,'1. Questionnaire d''entretien '!B44=2,0.75,'1. Questionnaire d''entretien '!B44=3,0.5)</f>
        <v>0.75</v>
      </c>
      <c r="G44" s="273" t="str">
        <f t="shared" si="1"/>
        <v>N/A</v>
      </c>
      <c r="N44" s="244"/>
      <c r="O44" s="244"/>
      <c r="P44" s="244"/>
      <c r="Q44" s="244"/>
      <c r="R44" s="244"/>
      <c r="S44" s="244"/>
    </row>
    <row r="45" spans="2:19" x14ac:dyDescent="0.3">
      <c r="B45" s="253">
        <f t="shared" si="4"/>
        <v>42</v>
      </c>
      <c r="C45" s="271" t="str">
        <f>IF('1. Questionnaire d''entretien '!R45="","N/A",'1. Questionnaire d''entretien '!R45)</f>
        <v>N/A</v>
      </c>
      <c r="D45" s="271" t="str">
        <f>IF('1. Questionnaire d''entretien '!T45="","N/A",'1. Questionnaire d''entretien '!T45)</f>
        <v>N/A</v>
      </c>
      <c r="E45" s="271" t="str">
        <f t="shared" si="0"/>
        <v>N/A</v>
      </c>
      <c r="F45" s="271" cm="1">
        <f t="array" ref="F45">_xlfn.IFS('1. Questionnaire d''entretien '!B45=1,1,'1. Questionnaire d''entretien '!B45=2,0.75,'1. Questionnaire d''entretien '!B45=3,0.5)</f>
        <v>1</v>
      </c>
      <c r="G45" s="273" t="str">
        <f t="shared" si="1"/>
        <v>N/A</v>
      </c>
      <c r="N45" s="244"/>
      <c r="O45" s="244"/>
      <c r="P45" s="244"/>
      <c r="Q45" s="244"/>
      <c r="R45" s="244"/>
      <c r="S45" s="244"/>
    </row>
    <row r="46" spans="2:19" x14ac:dyDescent="0.3">
      <c r="B46" s="253">
        <f t="shared" si="4"/>
        <v>43</v>
      </c>
      <c r="C46" s="271" t="str">
        <f>IF('1. Questionnaire d''entretien '!R46="","N/A",'1. Questionnaire d''entretien '!R46)</f>
        <v>N/A</v>
      </c>
      <c r="D46" s="271" t="str">
        <f>IF('1. Questionnaire d''entretien '!T46="","N/A",'1. Questionnaire d''entretien '!T46)</f>
        <v>N/A</v>
      </c>
      <c r="E46" s="271" t="str">
        <f t="shared" si="0"/>
        <v>N/A</v>
      </c>
      <c r="F46" s="271" cm="1">
        <f t="array" ref="F46">_xlfn.IFS('1. Questionnaire d''entretien '!B46=1,1,'1. Questionnaire d''entretien '!B46=2,0.75,'1. Questionnaire d''entretien '!B46=3,0.5)</f>
        <v>0.75</v>
      </c>
      <c r="G46" s="273" t="str">
        <f t="shared" si="1"/>
        <v>N/A</v>
      </c>
      <c r="N46" s="244"/>
      <c r="O46" s="244"/>
      <c r="P46" s="244"/>
      <c r="Q46" s="244"/>
      <c r="R46" s="244"/>
      <c r="S46" s="244"/>
    </row>
    <row r="47" spans="2:19" x14ac:dyDescent="0.3">
      <c r="B47" s="253">
        <f t="shared" si="4"/>
        <v>44</v>
      </c>
      <c r="C47" s="271" t="str">
        <f>IF('1. Questionnaire d''entretien '!R47="","N/A",'1. Questionnaire d''entretien '!R47)</f>
        <v>N/A</v>
      </c>
      <c r="D47" s="271" t="str">
        <f>IF('1. Questionnaire d''entretien '!T47="","N/A",'1. Questionnaire d''entretien '!T47)</f>
        <v>N/A</v>
      </c>
      <c r="E47" s="271" t="str">
        <f t="shared" si="0"/>
        <v>N/A</v>
      </c>
      <c r="F47" s="271" cm="1">
        <f t="array" ref="F47">_xlfn.IFS('1. Questionnaire d''entretien '!B47=1,1,'1. Questionnaire d''entretien '!B47=2,0.75,'1. Questionnaire d''entretien '!B47=3,0.5)</f>
        <v>0.75</v>
      </c>
      <c r="G47" s="273" t="str">
        <f t="shared" si="1"/>
        <v>N/A</v>
      </c>
      <c r="N47" s="244"/>
      <c r="O47" s="244"/>
      <c r="P47" s="244"/>
      <c r="Q47" s="244"/>
      <c r="R47" s="244"/>
      <c r="S47" s="244"/>
    </row>
    <row r="48" spans="2:19" x14ac:dyDescent="0.3">
      <c r="B48" s="253">
        <f t="shared" si="4"/>
        <v>45</v>
      </c>
      <c r="C48" s="271" t="str">
        <f>IF('1. Questionnaire d''entretien '!R48="","N/A",'1. Questionnaire d''entretien '!R48)</f>
        <v>N/A</v>
      </c>
      <c r="D48" s="271" t="str">
        <f>IF('1. Questionnaire d''entretien '!T48="","N/A",'1. Questionnaire d''entretien '!T48)</f>
        <v>N/A</v>
      </c>
      <c r="E48" s="271" t="str">
        <f t="shared" si="0"/>
        <v>N/A</v>
      </c>
      <c r="F48" s="271" cm="1">
        <f t="array" ref="F48">_xlfn.IFS('1. Questionnaire d''entretien '!B48=1,1,'1. Questionnaire d''entretien '!B48=2,0.75,'1. Questionnaire d''entretien '!B48=3,0.5)</f>
        <v>0.75</v>
      </c>
      <c r="G48" s="273" t="str">
        <f t="shared" si="1"/>
        <v>N/A</v>
      </c>
    </row>
    <row r="49" spans="2:7" x14ac:dyDescent="0.3">
      <c r="B49" s="253">
        <f t="shared" si="4"/>
        <v>46</v>
      </c>
      <c r="C49" s="271" t="str">
        <f>IF('1. Questionnaire d''entretien '!R49="","N/A",'1. Questionnaire d''entretien '!R49)</f>
        <v>N/A</v>
      </c>
      <c r="D49" s="271" t="str">
        <f>IF('1. Questionnaire d''entretien '!T49="","N/A",'1. Questionnaire d''entretien '!T49)</f>
        <v>N/A</v>
      </c>
      <c r="E49" s="271" t="str">
        <f t="shared" si="0"/>
        <v>N/A</v>
      </c>
      <c r="F49" s="271" cm="1">
        <f t="array" ref="F49">_xlfn.IFS('1. Questionnaire d''entretien '!B49=1,1,'1. Questionnaire d''entretien '!B49=2,0.75,'1. Questionnaire d''entretien '!B49=3,0.5)</f>
        <v>1</v>
      </c>
      <c r="G49" s="273" t="str">
        <f t="shared" si="1"/>
        <v>N/A</v>
      </c>
    </row>
    <row r="50" spans="2:7" x14ac:dyDescent="0.3">
      <c r="B50" s="253">
        <f t="shared" si="4"/>
        <v>47</v>
      </c>
      <c r="C50" s="271" t="str">
        <f>IF('1. Questionnaire d''entretien '!R50="","N/A",'1. Questionnaire d''entretien '!R50)</f>
        <v>N/A</v>
      </c>
      <c r="D50" s="271" t="str">
        <f>IF('1. Questionnaire d''entretien '!T50="","N/A",'1. Questionnaire d''entretien '!T50)</f>
        <v>N/A</v>
      </c>
      <c r="E50" s="271" t="str">
        <f t="shared" si="0"/>
        <v>N/A</v>
      </c>
      <c r="F50" s="271" cm="1">
        <f t="array" ref="F50">_xlfn.IFS('1. Questionnaire d''entretien '!B50=1,1,'1. Questionnaire d''entretien '!B50=2,0.75,'1. Questionnaire d''entretien '!B50=3,0.5)</f>
        <v>1</v>
      </c>
      <c r="G50" s="273" t="str">
        <f t="shared" si="1"/>
        <v>N/A</v>
      </c>
    </row>
    <row r="51" spans="2:7" x14ac:dyDescent="0.3">
      <c r="B51" s="253">
        <f t="shared" si="4"/>
        <v>48</v>
      </c>
      <c r="C51" s="271" t="str">
        <f>IF('1. Questionnaire d''entretien '!R51="","N/A",'1. Questionnaire d''entretien '!R51)</f>
        <v>N/A</v>
      </c>
      <c r="D51" s="271" t="str">
        <f>IF('1. Questionnaire d''entretien '!T51="","N/A",'1. Questionnaire d''entretien '!T51)</f>
        <v>N/A</v>
      </c>
      <c r="E51" s="271" t="str">
        <f t="shared" si="0"/>
        <v>N/A</v>
      </c>
      <c r="F51" s="271" cm="1">
        <f t="array" ref="F51">_xlfn.IFS('1. Questionnaire d''entretien '!B51=1,1,'1. Questionnaire d''entretien '!B51=2,0.75,'1. Questionnaire d''entretien '!B51=3,0.5)</f>
        <v>1</v>
      </c>
      <c r="G51" s="273" t="str">
        <f t="shared" si="1"/>
        <v>N/A</v>
      </c>
    </row>
    <row r="52" spans="2:7" x14ac:dyDescent="0.3">
      <c r="B52" s="253">
        <f t="shared" si="4"/>
        <v>49</v>
      </c>
      <c r="C52" s="271" t="str">
        <f>IF('1. Questionnaire d''entretien '!R52="","N/A",'1. Questionnaire d''entretien '!R52)</f>
        <v>N/A</v>
      </c>
      <c r="D52" s="271" t="str">
        <f>IF('1. Questionnaire d''entretien '!T52="","N/A",'1. Questionnaire d''entretien '!T52)</f>
        <v>N/A</v>
      </c>
      <c r="E52" s="271" t="str">
        <f t="shared" si="0"/>
        <v>N/A</v>
      </c>
      <c r="F52" s="271" cm="1">
        <f t="array" ref="F52">_xlfn.IFS('1. Questionnaire d''entretien '!B52=1,1,'1. Questionnaire d''entretien '!B52=2,0.75,'1. Questionnaire d''entretien '!B52=3,0.5)</f>
        <v>0.5</v>
      </c>
      <c r="G52" s="273" t="str">
        <f t="shared" si="1"/>
        <v>N/A</v>
      </c>
    </row>
    <row r="53" spans="2:7" x14ac:dyDescent="0.3">
      <c r="B53" s="253">
        <f t="shared" si="4"/>
        <v>50</v>
      </c>
      <c r="C53" s="271" t="str">
        <f>IF('1. Questionnaire d''entretien '!R53="","N/A",'1. Questionnaire d''entretien '!R53)</f>
        <v>N/A</v>
      </c>
      <c r="D53" s="271" t="str">
        <f>IF('1. Questionnaire d''entretien '!T53="","N/A",'1. Questionnaire d''entretien '!T53)</f>
        <v>N/A</v>
      </c>
      <c r="E53" s="271" t="str">
        <f t="shared" si="0"/>
        <v>N/A</v>
      </c>
      <c r="F53" s="271" cm="1">
        <f t="array" ref="F53">_xlfn.IFS('1. Questionnaire d''entretien '!B53=1,1,'1. Questionnaire d''entretien '!B53=2,0.75,'1. Questionnaire d''entretien '!B53=3,0.5)</f>
        <v>0.5</v>
      </c>
      <c r="G53" s="273" t="str">
        <f t="shared" si="1"/>
        <v>N/A</v>
      </c>
    </row>
    <row r="54" spans="2:7" x14ac:dyDescent="0.3">
      <c r="B54" s="253">
        <f t="shared" si="4"/>
        <v>51</v>
      </c>
      <c r="C54" s="271" t="str">
        <f>IF('1. Questionnaire d''entretien '!R54="","N/A",'1. Questionnaire d''entretien '!R54)</f>
        <v>N/A</v>
      </c>
      <c r="D54" s="271" t="str">
        <f>IF('1. Questionnaire d''entretien '!T54="","N/A",'1. Questionnaire d''entretien '!T54)</f>
        <v>N/A</v>
      </c>
      <c r="E54" s="271" t="str">
        <f t="shared" si="0"/>
        <v>N/A</v>
      </c>
      <c r="F54" s="271" cm="1">
        <f t="array" ref="F54">_xlfn.IFS('1. Questionnaire d''entretien '!B54=1,1,'1. Questionnaire d''entretien '!B54=2,0.75,'1. Questionnaire d''entretien '!B54=3,0.5)</f>
        <v>0.5</v>
      </c>
      <c r="G54" s="273" t="str">
        <f t="shared" si="1"/>
        <v>N/A</v>
      </c>
    </row>
    <row r="55" spans="2:7" x14ac:dyDescent="0.3">
      <c r="B55" s="253">
        <f t="shared" si="4"/>
        <v>52</v>
      </c>
      <c r="C55" s="271" t="str">
        <f>IF('1. Questionnaire d''entretien '!R55="","N/A",'1. Questionnaire d''entretien '!R55)</f>
        <v>N/A</v>
      </c>
      <c r="D55" s="271" t="str">
        <f>IF('1. Questionnaire d''entretien '!T55="","N/A",'1. Questionnaire d''entretien '!T55)</f>
        <v>N/A</v>
      </c>
      <c r="E55" s="271" t="str">
        <f t="shared" si="0"/>
        <v>N/A</v>
      </c>
      <c r="F55" s="271" cm="1">
        <f t="array" ref="F55">_xlfn.IFS('1. Questionnaire d''entretien '!B55=1,1,'1. Questionnaire d''entretien '!B55=2,0.75,'1. Questionnaire d''entretien '!B55=3,0.5)</f>
        <v>1</v>
      </c>
      <c r="G55" s="273" t="str">
        <f t="shared" si="1"/>
        <v>N/A</v>
      </c>
    </row>
    <row r="56" spans="2:7" x14ac:dyDescent="0.3">
      <c r="B56" s="253">
        <f t="shared" si="4"/>
        <v>53</v>
      </c>
      <c r="C56" s="271" t="str">
        <f>IF('1. Questionnaire d''entretien '!R56="","N/A",'1. Questionnaire d''entretien '!R56)</f>
        <v>N/A</v>
      </c>
      <c r="D56" s="271" t="str">
        <f>IF('1. Questionnaire d''entretien '!T56="","N/A",'1. Questionnaire d''entretien '!T56)</f>
        <v>N/A</v>
      </c>
      <c r="E56" s="271" t="str">
        <f t="shared" si="0"/>
        <v>N/A</v>
      </c>
      <c r="F56" s="271" cm="1">
        <f t="array" ref="F56">_xlfn.IFS('1. Questionnaire d''entretien '!B56=1,1,'1. Questionnaire d''entretien '!B56=2,0.75,'1. Questionnaire d''entretien '!B56=3,0.5)</f>
        <v>1</v>
      </c>
      <c r="G56" s="273" t="str">
        <f t="shared" si="1"/>
        <v>N/A</v>
      </c>
    </row>
    <row r="57" spans="2:7" x14ac:dyDescent="0.3">
      <c r="B57" s="253">
        <f t="shared" si="4"/>
        <v>54</v>
      </c>
      <c r="C57" s="271" t="str">
        <f>IF('1. Questionnaire d''entretien '!R57="","N/A",'1. Questionnaire d''entretien '!R57)</f>
        <v>N/A</v>
      </c>
      <c r="D57" s="271" t="str">
        <f>IF('1. Questionnaire d''entretien '!T57="","N/A",'1. Questionnaire d''entretien '!T57)</f>
        <v>N/A</v>
      </c>
      <c r="E57" s="271" t="str">
        <f t="shared" si="0"/>
        <v>N/A</v>
      </c>
      <c r="F57" s="271" cm="1">
        <f t="array" ref="F57">_xlfn.IFS('1. Questionnaire d''entretien '!B57=1,1,'1. Questionnaire d''entretien '!B57=2,0.75,'1. Questionnaire d''entretien '!B57=3,0.5)</f>
        <v>1</v>
      </c>
      <c r="G57" s="273" t="str">
        <f t="shared" si="1"/>
        <v>N/A</v>
      </c>
    </row>
    <row r="58" spans="2:7" x14ac:dyDescent="0.3">
      <c r="B58" s="253">
        <f t="shared" si="4"/>
        <v>55</v>
      </c>
      <c r="C58" s="271" t="str">
        <f>IF('1. Questionnaire d''entretien '!R58="","N/A",'1. Questionnaire d''entretien '!R58)</f>
        <v>N/A</v>
      </c>
      <c r="D58" s="271" t="str">
        <f>IF('1. Questionnaire d''entretien '!T58="","N/A",'1. Questionnaire d''entretien '!T58)</f>
        <v>N/A</v>
      </c>
      <c r="E58" s="271" t="str">
        <f t="shared" si="0"/>
        <v>N/A</v>
      </c>
      <c r="F58" s="271" cm="1">
        <f t="array" ref="F58">_xlfn.IFS('1. Questionnaire d''entretien '!B58=1,1,'1. Questionnaire d''entretien '!B58=2,0.75,'1. Questionnaire d''entretien '!B58=3,0.5)</f>
        <v>1</v>
      </c>
      <c r="G58" s="273" t="str">
        <f t="shared" si="1"/>
        <v>N/A</v>
      </c>
    </row>
    <row r="59" spans="2:7" x14ac:dyDescent="0.3">
      <c r="B59" s="253">
        <f t="shared" si="4"/>
        <v>56</v>
      </c>
      <c r="C59" s="271" t="str">
        <f>IF('1. Questionnaire d''entretien '!R59="","N/A",'1. Questionnaire d''entretien '!R59)</f>
        <v>N/A</v>
      </c>
      <c r="D59" s="271" t="str">
        <f>IF('1. Questionnaire d''entretien '!T59="","N/A",'1. Questionnaire d''entretien '!T59)</f>
        <v>N/A</v>
      </c>
      <c r="E59" s="271" t="str">
        <f t="shared" si="0"/>
        <v>N/A</v>
      </c>
      <c r="F59" s="271" cm="1">
        <f t="array" ref="F59">_xlfn.IFS('1. Questionnaire d''entretien '!B59=1,1,'1. Questionnaire d''entretien '!B59=2,0.75,'1. Questionnaire d''entretien '!B59=3,0.5)</f>
        <v>1</v>
      </c>
      <c r="G59" s="273" t="str">
        <f t="shared" si="1"/>
        <v>N/A</v>
      </c>
    </row>
    <row r="60" spans="2:7" x14ac:dyDescent="0.3">
      <c r="B60" s="253">
        <f t="shared" si="4"/>
        <v>57</v>
      </c>
      <c r="C60" s="271" t="str">
        <f>IF('1. Questionnaire d''entretien '!R60="","N/A",'1. Questionnaire d''entretien '!R60)</f>
        <v>N/A</v>
      </c>
      <c r="D60" s="271" t="str">
        <f>IF('1. Questionnaire d''entretien '!T60="","N/A",'1. Questionnaire d''entretien '!T60)</f>
        <v>N/A</v>
      </c>
      <c r="E60" s="271" t="str">
        <f t="shared" si="0"/>
        <v>N/A</v>
      </c>
      <c r="F60" s="271" cm="1">
        <f t="array" ref="F60">_xlfn.IFS('1. Questionnaire d''entretien '!B60=1,1,'1. Questionnaire d''entretien '!B60=2,0.75,'1. Questionnaire d''entretien '!B60=3,0.5)</f>
        <v>1</v>
      </c>
      <c r="G60" s="273" t="str">
        <f t="shared" si="1"/>
        <v>N/A</v>
      </c>
    </row>
    <row r="61" spans="2:7" x14ac:dyDescent="0.3">
      <c r="B61" s="253">
        <f t="shared" si="4"/>
        <v>58</v>
      </c>
      <c r="C61" s="271" t="str">
        <f>IF('1. Questionnaire d''entretien '!R61="","N/A",'1. Questionnaire d''entretien '!R61)</f>
        <v>N/A</v>
      </c>
      <c r="D61" s="271" t="str">
        <f>IF('1. Questionnaire d''entretien '!T61="","N/A",'1. Questionnaire d''entretien '!T61)</f>
        <v>N/A</v>
      </c>
      <c r="E61" s="271" t="str">
        <f t="shared" si="0"/>
        <v>N/A</v>
      </c>
      <c r="F61" s="271" cm="1">
        <f t="array" ref="F61">_xlfn.IFS('1. Questionnaire d''entretien '!B61=1,1,'1. Questionnaire d''entretien '!B61=2,0.75,'1. Questionnaire d''entretien '!B61=3,0.5)</f>
        <v>0.75</v>
      </c>
      <c r="G61" s="273" t="str">
        <f t="shared" si="1"/>
        <v>N/A</v>
      </c>
    </row>
    <row r="62" spans="2:7" x14ac:dyDescent="0.3">
      <c r="B62" s="253">
        <f t="shared" si="4"/>
        <v>59</v>
      </c>
      <c r="C62" s="271" t="str">
        <f>IF('1. Questionnaire d''entretien '!R62="","N/A",'1. Questionnaire d''entretien '!R62)</f>
        <v>N/A</v>
      </c>
      <c r="D62" s="271" t="str">
        <f>IF('1. Questionnaire d''entretien '!T62="","N/A",'1. Questionnaire d''entretien '!T62)</f>
        <v>N/A</v>
      </c>
      <c r="E62" s="271" t="str">
        <f t="shared" si="0"/>
        <v>N/A</v>
      </c>
      <c r="F62" s="271" cm="1">
        <f t="array" ref="F62">_xlfn.IFS('1. Questionnaire d''entretien '!B62=1,1,'1. Questionnaire d''entretien '!B62=2,0.75,'1. Questionnaire d''entretien '!B62=3,0.5)</f>
        <v>0.75</v>
      </c>
      <c r="G62" s="273" t="str">
        <f t="shared" si="1"/>
        <v>N/A</v>
      </c>
    </row>
    <row r="63" spans="2:7" x14ac:dyDescent="0.3">
      <c r="B63" s="253">
        <f t="shared" si="4"/>
        <v>60</v>
      </c>
      <c r="C63" s="271" t="str">
        <f>IF('1. Questionnaire d''entretien '!R63="","N/A",'1. Questionnaire d''entretien '!R63)</f>
        <v>N/A</v>
      </c>
      <c r="D63" s="271" t="str">
        <f>IF('1. Questionnaire d''entretien '!T63="","N/A",'1. Questionnaire d''entretien '!T63)</f>
        <v>N/A</v>
      </c>
      <c r="E63" s="271" t="str">
        <f t="shared" si="0"/>
        <v>N/A</v>
      </c>
      <c r="F63" s="271" cm="1">
        <f t="array" ref="F63">_xlfn.IFS('1. Questionnaire d''entretien '!B63=1,1,'1. Questionnaire d''entretien '!B63=2,0.75,'1. Questionnaire d''entretien '!B63=3,0.5)</f>
        <v>0.5</v>
      </c>
      <c r="G63" s="273" t="str">
        <f t="shared" si="1"/>
        <v>N/A</v>
      </c>
    </row>
    <row r="64" spans="2:7" x14ac:dyDescent="0.3">
      <c r="B64" s="253">
        <f t="shared" si="4"/>
        <v>61</v>
      </c>
      <c r="C64" s="271" t="str">
        <f>IF('1. Questionnaire d''entretien '!R64="","N/A",'1. Questionnaire d''entretien '!R64)</f>
        <v>N/A</v>
      </c>
      <c r="D64" s="271" t="str">
        <f>IF('1. Questionnaire d''entretien '!T64="","N/A",'1. Questionnaire d''entretien '!T64)</f>
        <v>N/A</v>
      </c>
      <c r="E64" s="271" t="str">
        <f t="shared" si="0"/>
        <v>N/A</v>
      </c>
      <c r="F64" s="271" cm="1">
        <f t="array" ref="F64">_xlfn.IFS('1. Questionnaire d''entretien '!B64=1,1,'1. Questionnaire d''entretien '!B64=2,0.75,'1. Questionnaire d''entretien '!B64=3,0.5)</f>
        <v>0.5</v>
      </c>
      <c r="G64" s="273" t="str">
        <f t="shared" si="1"/>
        <v>N/A</v>
      </c>
    </row>
    <row r="65" spans="2:7" x14ac:dyDescent="0.3">
      <c r="B65" s="253">
        <f t="shared" si="4"/>
        <v>62</v>
      </c>
      <c r="C65" s="271" t="str">
        <f>IF('1. Questionnaire d''entretien '!R65="","N/A",'1. Questionnaire d''entretien '!R65)</f>
        <v>N/A</v>
      </c>
      <c r="D65" s="271" t="str">
        <f>IF('1. Questionnaire d''entretien '!T65="","N/A",'1. Questionnaire d''entretien '!T65)</f>
        <v>N/A</v>
      </c>
      <c r="E65" s="271" t="str">
        <f t="shared" si="0"/>
        <v>N/A</v>
      </c>
      <c r="F65" s="271" cm="1">
        <f t="array" ref="F65">_xlfn.IFS('1. Questionnaire d''entretien '!B65=1,1,'1. Questionnaire d''entretien '!B65=2,0.75,'1. Questionnaire d''entretien '!B65=3,0.5)</f>
        <v>0.75</v>
      </c>
      <c r="G65" s="273" t="str">
        <f t="shared" si="1"/>
        <v>N/A</v>
      </c>
    </row>
    <row r="66" spans="2:7" x14ac:dyDescent="0.3">
      <c r="B66" s="253">
        <f t="shared" si="4"/>
        <v>63</v>
      </c>
      <c r="C66" s="271" t="str">
        <f>IF('1. Questionnaire d''entretien '!R66="","N/A",'1. Questionnaire d''entretien '!R66)</f>
        <v>N/A</v>
      </c>
      <c r="D66" s="271" t="str">
        <f>IF('1. Questionnaire d''entretien '!T66="","N/A",'1. Questionnaire d''entretien '!T66)</f>
        <v>N/A</v>
      </c>
      <c r="E66" s="271" t="str">
        <f t="shared" si="0"/>
        <v>N/A</v>
      </c>
      <c r="F66" s="271" cm="1">
        <f t="array" ref="F66">_xlfn.IFS('1. Questionnaire d''entretien '!B66=1,1,'1. Questionnaire d''entretien '!B66=2,0.75,'1. Questionnaire d''entretien '!B66=3,0.5)</f>
        <v>1</v>
      </c>
      <c r="G66" s="273" t="str">
        <f t="shared" si="1"/>
        <v>N/A</v>
      </c>
    </row>
    <row r="67" spans="2:7" x14ac:dyDescent="0.3">
      <c r="B67" s="253">
        <f t="shared" si="4"/>
        <v>64</v>
      </c>
      <c r="C67" s="271" t="str">
        <f>IF('1. Questionnaire d''entretien '!R67="","N/A",'1. Questionnaire d''entretien '!R67)</f>
        <v>N/A</v>
      </c>
      <c r="D67" s="271" t="str">
        <f>IF('1. Questionnaire d''entretien '!T67="","N/A",'1. Questionnaire d''entretien '!T67)</f>
        <v>N/A</v>
      </c>
      <c r="E67" s="271" t="str">
        <f t="shared" si="0"/>
        <v>N/A</v>
      </c>
      <c r="F67" s="271" cm="1">
        <f t="array" ref="F67">_xlfn.IFS('1. Questionnaire d''entretien '!B67=1,1,'1. Questionnaire d''entretien '!B67=2,0.75,'1. Questionnaire d''entretien '!B67=3,0.5)</f>
        <v>0.75</v>
      </c>
      <c r="G67" s="273" t="str">
        <f t="shared" si="1"/>
        <v>N/A</v>
      </c>
    </row>
    <row r="68" spans="2:7" x14ac:dyDescent="0.3">
      <c r="B68" s="253">
        <f t="shared" si="4"/>
        <v>65</v>
      </c>
      <c r="C68" s="271" t="str">
        <f>IF('1. Questionnaire d''entretien '!R68="","N/A",'1. Questionnaire d''entretien '!R68)</f>
        <v>N/A</v>
      </c>
      <c r="D68" s="271" t="str">
        <f>IF('1. Questionnaire d''entretien '!T68="","N/A",'1. Questionnaire d''entretien '!T68)</f>
        <v>N/A</v>
      </c>
      <c r="E68" s="271" t="str">
        <f t="shared" ref="E68:E131" si="5">IF(AND(C68="N/A",D68="N/A"),"N/A",AVERAGE(C68:D68))</f>
        <v>N/A</v>
      </c>
      <c r="F68" s="271" cm="1">
        <f t="array" ref="F68">_xlfn.IFS('1. Questionnaire d''entretien '!B68=1,1,'1. Questionnaire d''entretien '!B68=2,0.75,'1. Questionnaire d''entretien '!B68=3,0.5)</f>
        <v>0.5</v>
      </c>
      <c r="G68" s="273" t="str">
        <f t="shared" ref="G68:G131" si="6">IF(E68="N/A","N/A",E68*F68)</f>
        <v>N/A</v>
      </c>
    </row>
    <row r="69" spans="2:7" x14ac:dyDescent="0.3">
      <c r="B69" s="253">
        <f t="shared" si="4"/>
        <v>66</v>
      </c>
      <c r="C69" s="271" t="str">
        <f>IF('1. Questionnaire d''entretien '!R69="","N/A",'1. Questionnaire d''entretien '!R69)</f>
        <v>N/A</v>
      </c>
      <c r="D69" s="271" t="str">
        <f>IF('1. Questionnaire d''entretien '!T69="","N/A",'1. Questionnaire d''entretien '!T69)</f>
        <v>N/A</v>
      </c>
      <c r="E69" s="271" t="str">
        <f t="shared" si="5"/>
        <v>N/A</v>
      </c>
      <c r="F69" s="271" cm="1">
        <f t="array" ref="F69">_xlfn.IFS('1. Questionnaire d''entretien '!B69=1,1,'1. Questionnaire d''entretien '!B69=2,0.75,'1. Questionnaire d''entretien '!B69=3,0.5)</f>
        <v>0.5</v>
      </c>
      <c r="G69" s="273" t="str">
        <f t="shared" si="6"/>
        <v>N/A</v>
      </c>
    </row>
    <row r="70" spans="2:7" x14ac:dyDescent="0.3">
      <c r="B70" s="253">
        <f t="shared" ref="B70:B133" si="7">B69+1</f>
        <v>67</v>
      </c>
      <c r="C70" s="271" t="str">
        <f>IF('1. Questionnaire d''entretien '!R70="","N/A",'1. Questionnaire d''entretien '!R70)</f>
        <v>N/A</v>
      </c>
      <c r="D70" s="271" t="str">
        <f>IF('1. Questionnaire d''entretien '!T70="","N/A",'1. Questionnaire d''entretien '!T70)</f>
        <v>N/A</v>
      </c>
      <c r="E70" s="271" t="str">
        <f t="shared" si="5"/>
        <v>N/A</v>
      </c>
      <c r="F70" s="271" cm="1">
        <f t="array" ref="F70">_xlfn.IFS('1. Questionnaire d''entretien '!B70=1,1,'1. Questionnaire d''entretien '!B70=2,0.75,'1. Questionnaire d''entretien '!B70=3,0.5)</f>
        <v>0.75</v>
      </c>
      <c r="G70" s="273" t="str">
        <f t="shared" si="6"/>
        <v>N/A</v>
      </c>
    </row>
    <row r="71" spans="2:7" x14ac:dyDescent="0.3">
      <c r="B71" s="253">
        <f t="shared" si="7"/>
        <v>68</v>
      </c>
      <c r="C71" s="271" t="str">
        <f>IF('1. Questionnaire d''entretien '!R71="","N/A",'1. Questionnaire d''entretien '!R71)</f>
        <v>N/A</v>
      </c>
      <c r="D71" s="271" t="str">
        <f>IF('1. Questionnaire d''entretien '!T71="","N/A",'1. Questionnaire d''entretien '!T71)</f>
        <v>N/A</v>
      </c>
      <c r="E71" s="271" t="str">
        <f t="shared" si="5"/>
        <v>N/A</v>
      </c>
      <c r="F71" s="271" cm="1">
        <f t="array" ref="F71">_xlfn.IFS('1. Questionnaire d''entretien '!B71=1,1,'1. Questionnaire d''entretien '!B71=2,0.75,'1. Questionnaire d''entretien '!B71=3,0.5)</f>
        <v>0.75</v>
      </c>
      <c r="G71" s="273" t="str">
        <f t="shared" si="6"/>
        <v>N/A</v>
      </c>
    </row>
    <row r="72" spans="2:7" x14ac:dyDescent="0.3">
      <c r="B72" s="253">
        <f t="shared" si="7"/>
        <v>69</v>
      </c>
      <c r="C72" s="271" t="str">
        <f>IF('1. Questionnaire d''entretien '!R72="","N/A",'1. Questionnaire d''entretien '!R72)</f>
        <v>N/A</v>
      </c>
      <c r="D72" s="271" t="str">
        <f>IF('1. Questionnaire d''entretien '!T72="","N/A",'1. Questionnaire d''entretien '!T72)</f>
        <v>N/A</v>
      </c>
      <c r="E72" s="271" t="str">
        <f t="shared" si="5"/>
        <v>N/A</v>
      </c>
      <c r="F72" s="271" cm="1">
        <f t="array" ref="F72">_xlfn.IFS('1. Questionnaire d''entretien '!B72=1,1,'1. Questionnaire d''entretien '!B72=2,0.75,'1. Questionnaire d''entretien '!B72=3,0.5)</f>
        <v>1</v>
      </c>
      <c r="G72" s="273" t="str">
        <f t="shared" si="6"/>
        <v>N/A</v>
      </c>
    </row>
    <row r="73" spans="2:7" x14ac:dyDescent="0.3">
      <c r="B73" s="253">
        <f t="shared" si="7"/>
        <v>70</v>
      </c>
      <c r="C73" s="271" t="str">
        <f>IF('1. Questionnaire d''entretien '!R73="","N/A",'1. Questionnaire d''entretien '!R73)</f>
        <v>N/A</v>
      </c>
      <c r="D73" s="271" t="str">
        <f>IF('1. Questionnaire d''entretien '!T73="","N/A",'1. Questionnaire d''entretien '!T73)</f>
        <v>N/A</v>
      </c>
      <c r="E73" s="271" t="str">
        <f t="shared" si="5"/>
        <v>N/A</v>
      </c>
      <c r="F73" s="271" cm="1">
        <f t="array" ref="F73">_xlfn.IFS('1. Questionnaire d''entretien '!B73=1,1,'1. Questionnaire d''entretien '!B73=2,0.75,'1. Questionnaire d''entretien '!B73=3,0.5)</f>
        <v>1</v>
      </c>
      <c r="G73" s="273" t="str">
        <f t="shared" si="6"/>
        <v>N/A</v>
      </c>
    </row>
    <row r="74" spans="2:7" x14ac:dyDescent="0.3">
      <c r="B74" s="253">
        <f t="shared" si="7"/>
        <v>71</v>
      </c>
      <c r="C74" s="271" t="str">
        <f>IF('1. Questionnaire d''entretien '!R74="","N/A",'1. Questionnaire d''entretien '!R74)</f>
        <v>N/A</v>
      </c>
      <c r="D74" s="271" t="str">
        <f>IF('1. Questionnaire d''entretien '!T74="","N/A",'1. Questionnaire d''entretien '!T74)</f>
        <v>N/A</v>
      </c>
      <c r="E74" s="271" t="str">
        <f t="shared" si="5"/>
        <v>N/A</v>
      </c>
      <c r="F74" s="271" cm="1">
        <f t="array" ref="F74">_xlfn.IFS('1. Questionnaire d''entretien '!B74=1,1,'1. Questionnaire d''entretien '!B74=2,0.75,'1. Questionnaire d''entretien '!B74=3,0.5)</f>
        <v>0.75</v>
      </c>
      <c r="G74" s="273" t="str">
        <f t="shared" si="6"/>
        <v>N/A</v>
      </c>
    </row>
    <row r="75" spans="2:7" x14ac:dyDescent="0.3">
      <c r="B75" s="253">
        <f t="shared" si="7"/>
        <v>72</v>
      </c>
      <c r="C75" s="271" t="str">
        <f>IF('1. Questionnaire d''entretien '!R75="","N/A",'1. Questionnaire d''entretien '!R75)</f>
        <v>N/A</v>
      </c>
      <c r="D75" s="271" t="str">
        <f>IF('1. Questionnaire d''entretien '!T75="","N/A",'1. Questionnaire d''entretien '!T75)</f>
        <v>N/A</v>
      </c>
      <c r="E75" s="271" t="str">
        <f t="shared" si="5"/>
        <v>N/A</v>
      </c>
      <c r="F75" s="271" cm="1">
        <f t="array" ref="F75">_xlfn.IFS('1. Questionnaire d''entretien '!B75=1,1,'1. Questionnaire d''entretien '!B75=2,0.75,'1. Questionnaire d''entretien '!B75=3,0.5)</f>
        <v>1</v>
      </c>
      <c r="G75" s="273" t="str">
        <f t="shared" si="6"/>
        <v>N/A</v>
      </c>
    </row>
    <row r="76" spans="2:7" x14ac:dyDescent="0.3">
      <c r="B76" s="253">
        <f t="shared" si="7"/>
        <v>73</v>
      </c>
      <c r="C76" s="271" t="str">
        <f>IF('1. Questionnaire d''entretien '!R76="","N/A",'1. Questionnaire d''entretien '!R76)</f>
        <v>N/A</v>
      </c>
      <c r="D76" s="271" t="str">
        <f>IF('1. Questionnaire d''entretien '!T76="","N/A",'1. Questionnaire d''entretien '!T76)</f>
        <v>N/A</v>
      </c>
      <c r="E76" s="271" t="str">
        <f t="shared" si="5"/>
        <v>N/A</v>
      </c>
      <c r="F76" s="271" cm="1">
        <f t="array" ref="F76">_xlfn.IFS('1. Questionnaire d''entretien '!B76=1,1,'1. Questionnaire d''entretien '!B76=2,0.75,'1. Questionnaire d''entretien '!B76=3,0.5)</f>
        <v>0.75</v>
      </c>
      <c r="G76" s="273" t="str">
        <f t="shared" si="6"/>
        <v>N/A</v>
      </c>
    </row>
    <row r="77" spans="2:7" x14ac:dyDescent="0.3">
      <c r="B77" s="253">
        <f t="shared" si="7"/>
        <v>74</v>
      </c>
      <c r="C77" s="271" t="str">
        <f>IF('1. Questionnaire d''entretien '!R77="","N/A",'1. Questionnaire d''entretien '!R77)</f>
        <v>N/A</v>
      </c>
      <c r="D77" s="271" t="str">
        <f>IF('1. Questionnaire d''entretien '!T77="","N/A",'1. Questionnaire d''entretien '!T77)</f>
        <v>N/A</v>
      </c>
      <c r="E77" s="271" t="str">
        <f t="shared" si="5"/>
        <v>N/A</v>
      </c>
      <c r="F77" s="271" cm="1">
        <f t="array" ref="F77">_xlfn.IFS('1. Questionnaire d''entretien '!B77=1,1,'1. Questionnaire d''entretien '!B77=2,0.75,'1. Questionnaire d''entretien '!B77=3,0.5)</f>
        <v>0.75</v>
      </c>
      <c r="G77" s="273" t="str">
        <f t="shared" si="6"/>
        <v>N/A</v>
      </c>
    </row>
    <row r="78" spans="2:7" x14ac:dyDescent="0.3">
      <c r="B78" s="253">
        <f t="shared" si="7"/>
        <v>75</v>
      </c>
      <c r="C78" s="271" t="str">
        <f>IF('1. Questionnaire d''entretien '!R78="","N/A",'1. Questionnaire d''entretien '!R78)</f>
        <v>N/A</v>
      </c>
      <c r="D78" s="271" t="str">
        <f>IF('1. Questionnaire d''entretien '!T78="","N/A",'1. Questionnaire d''entretien '!T78)</f>
        <v>N/A</v>
      </c>
      <c r="E78" s="271" t="str">
        <f t="shared" si="5"/>
        <v>N/A</v>
      </c>
      <c r="F78" s="271" cm="1">
        <f t="array" ref="F78">_xlfn.IFS('1. Questionnaire d''entretien '!B78=1,1,'1. Questionnaire d''entretien '!B78=2,0.75,'1. Questionnaire d''entretien '!B78=3,0.5)</f>
        <v>0.75</v>
      </c>
      <c r="G78" s="273" t="str">
        <f t="shared" si="6"/>
        <v>N/A</v>
      </c>
    </row>
    <row r="79" spans="2:7" x14ac:dyDescent="0.3">
      <c r="B79" s="253">
        <f t="shared" si="7"/>
        <v>76</v>
      </c>
      <c r="C79" s="271" t="str">
        <f>IF('1. Questionnaire d''entretien '!R79="","N/A",'1. Questionnaire d''entretien '!R79)</f>
        <v>N/A</v>
      </c>
      <c r="D79" s="271" t="str">
        <f>IF('1. Questionnaire d''entretien '!T79="","N/A",'1. Questionnaire d''entretien '!T79)</f>
        <v>N/A</v>
      </c>
      <c r="E79" s="271" t="str">
        <f t="shared" si="5"/>
        <v>N/A</v>
      </c>
      <c r="F79" s="271" cm="1">
        <f t="array" ref="F79">_xlfn.IFS('1. Questionnaire d''entretien '!B79=1,1,'1. Questionnaire d''entretien '!B79=2,0.75,'1. Questionnaire d''entretien '!B79=3,0.5)</f>
        <v>0.75</v>
      </c>
      <c r="G79" s="273" t="str">
        <f t="shared" si="6"/>
        <v>N/A</v>
      </c>
    </row>
    <row r="80" spans="2:7" x14ac:dyDescent="0.3">
      <c r="B80" s="253">
        <f t="shared" si="7"/>
        <v>77</v>
      </c>
      <c r="C80" s="271" t="str">
        <f>IF('1. Questionnaire d''entretien '!R80="","N/A",'1. Questionnaire d''entretien '!R80)</f>
        <v>N/A</v>
      </c>
      <c r="D80" s="271" t="str">
        <f>IF('1. Questionnaire d''entretien '!T80="","N/A",'1. Questionnaire d''entretien '!T80)</f>
        <v>N/A</v>
      </c>
      <c r="E80" s="271" t="str">
        <f t="shared" si="5"/>
        <v>N/A</v>
      </c>
      <c r="F80" s="271" cm="1">
        <f t="array" ref="F80">_xlfn.IFS('1. Questionnaire d''entretien '!B80=1,1,'1. Questionnaire d''entretien '!B80=2,0.75,'1. Questionnaire d''entretien '!B80=3,0.5)</f>
        <v>0.75</v>
      </c>
      <c r="G80" s="273" t="str">
        <f t="shared" si="6"/>
        <v>N/A</v>
      </c>
    </row>
    <row r="81" spans="2:7" x14ac:dyDescent="0.3">
      <c r="B81" s="253">
        <f t="shared" si="7"/>
        <v>78</v>
      </c>
      <c r="C81" s="271" t="str">
        <f>IF('1. Questionnaire d''entretien '!R81="","N/A",'1. Questionnaire d''entretien '!R81)</f>
        <v>N/A</v>
      </c>
      <c r="D81" s="271" t="str">
        <f>IF('1. Questionnaire d''entretien '!T81="","N/A",'1. Questionnaire d''entretien '!T81)</f>
        <v>N/A</v>
      </c>
      <c r="E81" s="271" t="str">
        <f t="shared" si="5"/>
        <v>N/A</v>
      </c>
      <c r="F81" s="271" cm="1">
        <f t="array" ref="F81">_xlfn.IFS('1. Questionnaire d''entretien '!B81=1,1,'1. Questionnaire d''entretien '!B81=2,0.75,'1. Questionnaire d''entretien '!B81=3,0.5)</f>
        <v>0.75</v>
      </c>
      <c r="G81" s="273" t="str">
        <f t="shared" si="6"/>
        <v>N/A</v>
      </c>
    </row>
    <row r="82" spans="2:7" x14ac:dyDescent="0.3">
      <c r="B82" s="253">
        <f t="shared" si="7"/>
        <v>79</v>
      </c>
      <c r="C82" s="271" t="str">
        <f>IF('1. Questionnaire d''entretien '!R82="","N/A",'1. Questionnaire d''entretien '!R82)</f>
        <v>N/A</v>
      </c>
      <c r="D82" s="271" t="str">
        <f>IF('1. Questionnaire d''entretien '!T82="","N/A",'1. Questionnaire d''entretien '!T82)</f>
        <v>N/A</v>
      </c>
      <c r="E82" s="271" t="str">
        <f t="shared" si="5"/>
        <v>N/A</v>
      </c>
      <c r="F82" s="271" cm="1">
        <f t="array" ref="F82">_xlfn.IFS('1. Questionnaire d''entretien '!B82=1,1,'1. Questionnaire d''entretien '!B82=2,0.75,'1. Questionnaire d''entretien '!B82=3,0.5)</f>
        <v>1</v>
      </c>
      <c r="G82" s="273" t="str">
        <f t="shared" si="6"/>
        <v>N/A</v>
      </c>
    </row>
    <row r="83" spans="2:7" x14ac:dyDescent="0.3">
      <c r="B83" s="253">
        <f t="shared" si="7"/>
        <v>80</v>
      </c>
      <c r="C83" s="271" t="str">
        <f>IF('1. Questionnaire d''entretien '!R83="","N/A",'1. Questionnaire d''entretien '!R83)</f>
        <v>N/A</v>
      </c>
      <c r="D83" s="271" t="str">
        <f>IF('1. Questionnaire d''entretien '!T83="","N/A",'1. Questionnaire d''entretien '!T83)</f>
        <v>N/A</v>
      </c>
      <c r="E83" s="271" t="str">
        <f t="shared" si="5"/>
        <v>N/A</v>
      </c>
      <c r="F83" s="271" cm="1">
        <f t="array" ref="F83">_xlfn.IFS('1. Questionnaire d''entretien '!B83=1,1,'1. Questionnaire d''entretien '!B83=2,0.75,'1. Questionnaire d''entretien '!B83=3,0.5)</f>
        <v>1</v>
      </c>
      <c r="G83" s="273" t="str">
        <f t="shared" si="6"/>
        <v>N/A</v>
      </c>
    </row>
    <row r="84" spans="2:7" x14ac:dyDescent="0.3">
      <c r="B84" s="253">
        <f t="shared" si="7"/>
        <v>81</v>
      </c>
      <c r="C84" s="271" t="str">
        <f>IF('1. Questionnaire d''entretien '!R84="","N/A",'1. Questionnaire d''entretien '!R84)</f>
        <v>N/A</v>
      </c>
      <c r="D84" s="271" t="str">
        <f>IF('1. Questionnaire d''entretien '!T84="","N/A",'1. Questionnaire d''entretien '!T84)</f>
        <v>N/A</v>
      </c>
      <c r="E84" s="271" t="str">
        <f t="shared" si="5"/>
        <v>N/A</v>
      </c>
      <c r="F84" s="271" cm="1">
        <f t="array" ref="F84">_xlfn.IFS('1. Questionnaire d''entretien '!B84=1,1,'1. Questionnaire d''entretien '!B84=2,0.75,'1. Questionnaire d''entretien '!B84=3,0.5)</f>
        <v>0.75</v>
      </c>
      <c r="G84" s="273" t="str">
        <f t="shared" si="6"/>
        <v>N/A</v>
      </c>
    </row>
    <row r="85" spans="2:7" x14ac:dyDescent="0.3">
      <c r="B85" s="253">
        <f t="shared" si="7"/>
        <v>82</v>
      </c>
      <c r="C85" s="271" t="str">
        <f>IF('1. Questionnaire d''entretien '!R85="","N/A",'1. Questionnaire d''entretien '!R85)</f>
        <v>N/A</v>
      </c>
      <c r="D85" s="271" t="str">
        <f>IF('1. Questionnaire d''entretien '!T85="","N/A",'1. Questionnaire d''entretien '!T85)</f>
        <v>N/A</v>
      </c>
      <c r="E85" s="271" t="str">
        <f t="shared" si="5"/>
        <v>N/A</v>
      </c>
      <c r="F85" s="271" cm="1">
        <f t="array" ref="F85">_xlfn.IFS('1. Questionnaire d''entretien '!B85=1,1,'1. Questionnaire d''entretien '!B85=2,0.75,'1. Questionnaire d''entretien '!B85=3,0.5)</f>
        <v>0.75</v>
      </c>
      <c r="G85" s="273" t="str">
        <f t="shared" si="6"/>
        <v>N/A</v>
      </c>
    </row>
    <row r="86" spans="2:7" x14ac:dyDescent="0.3">
      <c r="B86" s="253">
        <f t="shared" si="7"/>
        <v>83</v>
      </c>
      <c r="C86" s="271" t="str">
        <f>IF('1. Questionnaire d''entretien '!R86="","N/A",'1. Questionnaire d''entretien '!R86)</f>
        <v>N/A</v>
      </c>
      <c r="D86" s="271" t="str">
        <f>IF('1. Questionnaire d''entretien '!T86="","N/A",'1. Questionnaire d''entretien '!T86)</f>
        <v>N/A</v>
      </c>
      <c r="E86" s="271" t="str">
        <f t="shared" si="5"/>
        <v>N/A</v>
      </c>
      <c r="F86" s="271" cm="1">
        <f t="array" ref="F86">_xlfn.IFS('1. Questionnaire d''entretien '!B86=1,1,'1. Questionnaire d''entretien '!B86=2,0.75,'1. Questionnaire d''entretien '!B86=3,0.5)</f>
        <v>1</v>
      </c>
      <c r="G86" s="273" t="str">
        <f t="shared" si="6"/>
        <v>N/A</v>
      </c>
    </row>
    <row r="87" spans="2:7" x14ac:dyDescent="0.3">
      <c r="B87" s="253">
        <f t="shared" si="7"/>
        <v>84</v>
      </c>
      <c r="C87" s="271" t="str">
        <f>IF('1. Questionnaire d''entretien '!R87="","N/A",'1. Questionnaire d''entretien '!R87)</f>
        <v>N/A</v>
      </c>
      <c r="D87" s="271" t="str">
        <f>IF('1. Questionnaire d''entretien '!T87="","N/A",'1. Questionnaire d''entretien '!T87)</f>
        <v>N/A</v>
      </c>
      <c r="E87" s="271" t="str">
        <f t="shared" si="5"/>
        <v>N/A</v>
      </c>
      <c r="F87" s="271" cm="1">
        <f t="array" ref="F87">_xlfn.IFS('1. Questionnaire d''entretien '!B87=1,1,'1. Questionnaire d''entretien '!B87=2,0.75,'1. Questionnaire d''entretien '!B87=3,0.5)</f>
        <v>0.5</v>
      </c>
      <c r="G87" s="273" t="str">
        <f t="shared" si="6"/>
        <v>N/A</v>
      </c>
    </row>
    <row r="88" spans="2:7" x14ac:dyDescent="0.3">
      <c r="B88" s="253">
        <f t="shared" si="7"/>
        <v>85</v>
      </c>
      <c r="C88" s="271" t="str">
        <f>IF('1. Questionnaire d''entretien '!R88="","N/A",'1. Questionnaire d''entretien '!R88)</f>
        <v>N/A</v>
      </c>
      <c r="D88" s="271" t="str">
        <f>IF('1. Questionnaire d''entretien '!T88="","N/A",'1. Questionnaire d''entretien '!T88)</f>
        <v>N/A</v>
      </c>
      <c r="E88" s="271" t="str">
        <f t="shared" si="5"/>
        <v>N/A</v>
      </c>
      <c r="F88" s="271" cm="1">
        <f t="array" ref="F88">_xlfn.IFS('1. Questionnaire d''entretien '!B88=1,1,'1. Questionnaire d''entretien '!B88=2,0.75,'1. Questionnaire d''entretien '!B88=3,0.5)</f>
        <v>0.5</v>
      </c>
      <c r="G88" s="273" t="str">
        <f t="shared" si="6"/>
        <v>N/A</v>
      </c>
    </row>
    <row r="89" spans="2:7" x14ac:dyDescent="0.3">
      <c r="B89" s="253">
        <f t="shared" si="7"/>
        <v>86</v>
      </c>
      <c r="C89" s="271" t="str">
        <f>IF('1. Questionnaire d''entretien '!R89="","N/A",'1. Questionnaire d''entretien '!R89)</f>
        <v>N/A</v>
      </c>
      <c r="D89" s="271" t="str">
        <f>IF('1. Questionnaire d''entretien '!T89="","N/A",'1. Questionnaire d''entretien '!T89)</f>
        <v>N/A</v>
      </c>
      <c r="E89" s="271" t="str">
        <f t="shared" si="5"/>
        <v>N/A</v>
      </c>
      <c r="F89" s="271" cm="1">
        <f t="array" ref="F89">_xlfn.IFS('1. Questionnaire d''entretien '!B89=1,1,'1. Questionnaire d''entretien '!B89=2,0.75,'1. Questionnaire d''entretien '!B89=3,0.5)</f>
        <v>1</v>
      </c>
      <c r="G89" s="273" t="str">
        <f t="shared" si="6"/>
        <v>N/A</v>
      </c>
    </row>
    <row r="90" spans="2:7" x14ac:dyDescent="0.3">
      <c r="B90" s="253">
        <f t="shared" si="7"/>
        <v>87</v>
      </c>
      <c r="C90" s="271" t="str">
        <f>IF('1. Questionnaire d''entretien '!R90="","N/A",'1. Questionnaire d''entretien '!R90)</f>
        <v>N/A</v>
      </c>
      <c r="D90" s="271" t="str">
        <f>IF('1. Questionnaire d''entretien '!T90="","N/A",'1. Questionnaire d''entretien '!T90)</f>
        <v>N/A</v>
      </c>
      <c r="E90" s="271" t="str">
        <f t="shared" si="5"/>
        <v>N/A</v>
      </c>
      <c r="F90" s="271" cm="1">
        <f t="array" ref="F90">_xlfn.IFS('1. Questionnaire d''entretien '!B90=1,1,'1. Questionnaire d''entretien '!B90=2,0.75,'1. Questionnaire d''entretien '!B90=3,0.5)</f>
        <v>0.5</v>
      </c>
      <c r="G90" s="273" t="str">
        <f t="shared" si="6"/>
        <v>N/A</v>
      </c>
    </row>
    <row r="91" spans="2:7" x14ac:dyDescent="0.3">
      <c r="B91" s="253">
        <f t="shared" si="7"/>
        <v>88</v>
      </c>
      <c r="C91" s="271" t="str">
        <f>IF('1. Questionnaire d''entretien '!R91="","N/A",'1. Questionnaire d''entretien '!R91)</f>
        <v>N/A</v>
      </c>
      <c r="D91" s="271" t="str">
        <f>IF('1. Questionnaire d''entretien '!T91="","N/A",'1. Questionnaire d''entretien '!T91)</f>
        <v>N/A</v>
      </c>
      <c r="E91" s="271" t="str">
        <f t="shared" si="5"/>
        <v>N/A</v>
      </c>
      <c r="F91" s="271" cm="1">
        <f t="array" ref="F91">_xlfn.IFS('1. Questionnaire d''entretien '!B91=1,1,'1. Questionnaire d''entretien '!B91=2,0.75,'1. Questionnaire d''entretien '!B91=3,0.5)</f>
        <v>0.5</v>
      </c>
      <c r="G91" s="273" t="str">
        <f t="shared" si="6"/>
        <v>N/A</v>
      </c>
    </row>
    <row r="92" spans="2:7" x14ac:dyDescent="0.3">
      <c r="B92" s="253">
        <f t="shared" si="7"/>
        <v>89</v>
      </c>
      <c r="C92" s="271" t="str">
        <f>IF('1. Questionnaire d''entretien '!R92="","N/A",'1. Questionnaire d''entretien '!R92)</f>
        <v>N/A</v>
      </c>
      <c r="D92" s="271" t="str">
        <f>IF('1. Questionnaire d''entretien '!T92="","N/A",'1. Questionnaire d''entretien '!T92)</f>
        <v>N/A</v>
      </c>
      <c r="E92" s="271" t="str">
        <f t="shared" si="5"/>
        <v>N/A</v>
      </c>
      <c r="F92" s="271" cm="1">
        <f t="array" ref="F92">_xlfn.IFS('1. Questionnaire d''entretien '!B92=1,1,'1. Questionnaire d''entretien '!B92=2,0.75,'1. Questionnaire d''entretien '!B92=3,0.5)</f>
        <v>1</v>
      </c>
      <c r="G92" s="273" t="str">
        <f t="shared" si="6"/>
        <v>N/A</v>
      </c>
    </row>
    <row r="93" spans="2:7" x14ac:dyDescent="0.3">
      <c r="B93" s="253">
        <f t="shared" si="7"/>
        <v>90</v>
      </c>
      <c r="C93" s="271" t="str">
        <f>IF('1. Questionnaire d''entretien '!R93="","N/A",'1. Questionnaire d''entretien '!R93)</f>
        <v>N/A</v>
      </c>
      <c r="D93" s="271" t="str">
        <f>IF('1. Questionnaire d''entretien '!T93="","N/A",'1. Questionnaire d''entretien '!T93)</f>
        <v>N/A</v>
      </c>
      <c r="E93" s="271" t="str">
        <f t="shared" si="5"/>
        <v>N/A</v>
      </c>
      <c r="F93" s="271" cm="1">
        <f t="array" ref="F93">_xlfn.IFS('1. Questionnaire d''entretien '!B93=1,1,'1. Questionnaire d''entretien '!B93=2,0.75,'1. Questionnaire d''entretien '!B93=3,0.5)</f>
        <v>0.75</v>
      </c>
      <c r="G93" s="273" t="str">
        <f t="shared" si="6"/>
        <v>N/A</v>
      </c>
    </row>
    <row r="94" spans="2:7" x14ac:dyDescent="0.3">
      <c r="B94" s="253">
        <f t="shared" si="7"/>
        <v>91</v>
      </c>
      <c r="C94" s="271" t="str">
        <f>IF('1. Questionnaire d''entretien '!R94="","N/A",'1. Questionnaire d''entretien '!R94)</f>
        <v>N/A</v>
      </c>
      <c r="D94" s="271" t="str">
        <f>IF('1. Questionnaire d''entretien '!T94="","N/A",'1. Questionnaire d''entretien '!T94)</f>
        <v>N/A</v>
      </c>
      <c r="E94" s="271" t="str">
        <f t="shared" si="5"/>
        <v>N/A</v>
      </c>
      <c r="F94" s="271" cm="1">
        <f t="array" ref="F94">_xlfn.IFS('1. Questionnaire d''entretien '!B94=1,1,'1. Questionnaire d''entretien '!B94=2,0.75,'1. Questionnaire d''entretien '!B94=3,0.5)</f>
        <v>0.75</v>
      </c>
      <c r="G94" s="273" t="str">
        <f t="shared" si="6"/>
        <v>N/A</v>
      </c>
    </row>
    <row r="95" spans="2:7" x14ac:dyDescent="0.3">
      <c r="B95" s="253">
        <f t="shared" si="7"/>
        <v>92</v>
      </c>
      <c r="C95" s="271" t="str">
        <f>IF('1. Questionnaire d''entretien '!R95="","N/A",'1. Questionnaire d''entretien '!R95)</f>
        <v>N/A</v>
      </c>
      <c r="D95" s="271" t="str">
        <f>IF('1. Questionnaire d''entretien '!T95="","N/A",'1. Questionnaire d''entretien '!T95)</f>
        <v>N/A</v>
      </c>
      <c r="E95" s="271" t="str">
        <f t="shared" si="5"/>
        <v>N/A</v>
      </c>
      <c r="F95" s="271" cm="1">
        <f t="array" ref="F95">_xlfn.IFS('1. Questionnaire d''entretien '!B95=1,1,'1. Questionnaire d''entretien '!B95=2,0.75,'1. Questionnaire d''entretien '!B95=3,0.5)</f>
        <v>0.75</v>
      </c>
      <c r="G95" s="273" t="str">
        <f t="shared" si="6"/>
        <v>N/A</v>
      </c>
    </row>
    <row r="96" spans="2:7" x14ac:dyDescent="0.3">
      <c r="B96" s="253">
        <f t="shared" si="7"/>
        <v>93</v>
      </c>
      <c r="C96" s="271" t="str">
        <f>IF('1. Questionnaire d''entretien '!R96="","N/A",'1. Questionnaire d''entretien '!R96)</f>
        <v>N/A</v>
      </c>
      <c r="D96" s="271" t="str">
        <f>IF('1. Questionnaire d''entretien '!T96="","N/A",'1. Questionnaire d''entretien '!T96)</f>
        <v>N/A</v>
      </c>
      <c r="E96" s="271" t="str">
        <f t="shared" si="5"/>
        <v>N/A</v>
      </c>
      <c r="F96" s="271" cm="1">
        <f t="array" ref="F96">_xlfn.IFS('1. Questionnaire d''entretien '!B96=1,1,'1. Questionnaire d''entretien '!B96=2,0.75,'1. Questionnaire d''entretien '!B96=3,0.5)</f>
        <v>0.75</v>
      </c>
      <c r="G96" s="273" t="str">
        <f t="shared" si="6"/>
        <v>N/A</v>
      </c>
    </row>
    <row r="97" spans="2:7" x14ac:dyDescent="0.3">
      <c r="B97" s="253">
        <f t="shared" si="7"/>
        <v>94</v>
      </c>
      <c r="C97" s="271" t="str">
        <f>IF('1. Questionnaire d''entretien '!R97="","N/A",'1. Questionnaire d''entretien '!R97)</f>
        <v>N/A</v>
      </c>
      <c r="D97" s="271" t="str">
        <f>IF('1. Questionnaire d''entretien '!T97="","N/A",'1. Questionnaire d''entretien '!T97)</f>
        <v>N/A</v>
      </c>
      <c r="E97" s="271" t="str">
        <f t="shared" si="5"/>
        <v>N/A</v>
      </c>
      <c r="F97" s="271" cm="1">
        <f t="array" ref="F97">_xlfn.IFS('1. Questionnaire d''entretien '!B97=1,1,'1. Questionnaire d''entretien '!B97=2,0.75,'1. Questionnaire d''entretien '!B97=3,0.5)</f>
        <v>0.75</v>
      </c>
      <c r="G97" s="273" t="str">
        <f t="shared" si="6"/>
        <v>N/A</v>
      </c>
    </row>
    <row r="98" spans="2:7" x14ac:dyDescent="0.3">
      <c r="B98" s="253">
        <f t="shared" si="7"/>
        <v>95</v>
      </c>
      <c r="C98" s="271" t="str">
        <f>IF('1. Questionnaire d''entretien '!R98="","N/A",'1. Questionnaire d''entretien '!R98)</f>
        <v>N/A</v>
      </c>
      <c r="D98" s="271" t="str">
        <f>IF('1. Questionnaire d''entretien '!T98="","N/A",'1. Questionnaire d''entretien '!T98)</f>
        <v>N/A</v>
      </c>
      <c r="E98" s="271" t="str">
        <f t="shared" si="5"/>
        <v>N/A</v>
      </c>
      <c r="F98" s="271" cm="1">
        <f t="array" ref="F98">_xlfn.IFS('1. Questionnaire d''entretien '!B98=1,1,'1. Questionnaire d''entretien '!B98=2,0.75,'1. Questionnaire d''entretien '!B98=3,0.5)</f>
        <v>0.75</v>
      </c>
      <c r="G98" s="273" t="str">
        <f t="shared" si="6"/>
        <v>N/A</v>
      </c>
    </row>
    <row r="99" spans="2:7" x14ac:dyDescent="0.3">
      <c r="B99" s="253">
        <f t="shared" si="7"/>
        <v>96</v>
      </c>
      <c r="C99" s="271" t="str">
        <f>IF('1. Questionnaire d''entretien '!R99="","N/A",'1. Questionnaire d''entretien '!R99)</f>
        <v>N/A</v>
      </c>
      <c r="D99" s="271" t="str">
        <f>IF('1. Questionnaire d''entretien '!T99="","N/A",'1. Questionnaire d''entretien '!T99)</f>
        <v>N/A</v>
      </c>
      <c r="E99" s="271" t="str">
        <f t="shared" si="5"/>
        <v>N/A</v>
      </c>
      <c r="F99" s="271" cm="1">
        <f t="array" ref="F99">_xlfn.IFS('1. Questionnaire d''entretien '!B99=1,1,'1. Questionnaire d''entretien '!B99=2,0.75,'1. Questionnaire d''entretien '!B99=3,0.5)</f>
        <v>0.75</v>
      </c>
      <c r="G99" s="273" t="str">
        <f t="shared" si="6"/>
        <v>N/A</v>
      </c>
    </row>
    <row r="100" spans="2:7" x14ac:dyDescent="0.3">
      <c r="B100" s="253">
        <f t="shared" si="7"/>
        <v>97</v>
      </c>
      <c r="C100" s="271" t="str">
        <f>IF('1. Questionnaire d''entretien '!R100="","N/A",'1. Questionnaire d''entretien '!R100)</f>
        <v>N/A</v>
      </c>
      <c r="D100" s="271" t="str">
        <f>IF('1. Questionnaire d''entretien '!T100="","N/A",'1. Questionnaire d''entretien '!T100)</f>
        <v>N/A</v>
      </c>
      <c r="E100" s="271" t="str">
        <f t="shared" si="5"/>
        <v>N/A</v>
      </c>
      <c r="F100" s="271" cm="1">
        <f t="array" ref="F100">_xlfn.IFS('1. Questionnaire d''entretien '!B100=1,1,'1. Questionnaire d''entretien '!B100=2,0.75,'1. Questionnaire d''entretien '!B100=3,0.5)</f>
        <v>0.5</v>
      </c>
      <c r="G100" s="273" t="str">
        <f t="shared" si="6"/>
        <v>N/A</v>
      </c>
    </row>
    <row r="101" spans="2:7" x14ac:dyDescent="0.3">
      <c r="B101" s="253">
        <f t="shared" si="7"/>
        <v>98</v>
      </c>
      <c r="C101" s="271" t="str">
        <f>IF('1. Questionnaire d''entretien '!R101="","N/A",'1. Questionnaire d''entretien '!R101)</f>
        <v>N/A</v>
      </c>
      <c r="D101" s="271" t="str">
        <f>IF('1. Questionnaire d''entretien '!T101="","N/A",'1. Questionnaire d''entretien '!T101)</f>
        <v>N/A</v>
      </c>
      <c r="E101" s="271" t="str">
        <f t="shared" si="5"/>
        <v>N/A</v>
      </c>
      <c r="F101" s="271" cm="1">
        <f t="array" ref="F101">_xlfn.IFS('1. Questionnaire d''entretien '!B101=1,1,'1. Questionnaire d''entretien '!B101=2,0.75,'1. Questionnaire d''entretien '!B101=3,0.5)</f>
        <v>1</v>
      </c>
      <c r="G101" s="273" t="str">
        <f t="shared" si="6"/>
        <v>N/A</v>
      </c>
    </row>
    <row r="102" spans="2:7" x14ac:dyDescent="0.3">
      <c r="B102" s="253">
        <f t="shared" si="7"/>
        <v>99</v>
      </c>
      <c r="C102" s="271" t="str">
        <f>IF('1. Questionnaire d''entretien '!R102="","N/A",'1. Questionnaire d''entretien '!R102)</f>
        <v>N/A</v>
      </c>
      <c r="D102" s="271" t="str">
        <f>IF('1. Questionnaire d''entretien '!T102="","N/A",'1. Questionnaire d''entretien '!T102)</f>
        <v>N/A</v>
      </c>
      <c r="E102" s="271" t="str">
        <f t="shared" si="5"/>
        <v>N/A</v>
      </c>
      <c r="F102" s="271" cm="1">
        <f t="array" ref="F102">_xlfn.IFS('1. Questionnaire d''entretien '!B102=1,1,'1. Questionnaire d''entretien '!B102=2,0.75,'1. Questionnaire d''entretien '!B102=3,0.5)</f>
        <v>1</v>
      </c>
      <c r="G102" s="273" t="str">
        <f t="shared" si="6"/>
        <v>N/A</v>
      </c>
    </row>
    <row r="103" spans="2:7" x14ac:dyDescent="0.3">
      <c r="B103" s="253">
        <f t="shared" si="7"/>
        <v>100</v>
      </c>
      <c r="C103" s="271" t="str">
        <f>IF('1. Questionnaire d''entretien '!R103="","N/A",'1. Questionnaire d''entretien '!R103)</f>
        <v>N/A</v>
      </c>
      <c r="D103" s="271" t="str">
        <f>IF('1. Questionnaire d''entretien '!T103="","N/A",'1. Questionnaire d''entretien '!T103)</f>
        <v>N/A</v>
      </c>
      <c r="E103" s="271" t="str">
        <f t="shared" si="5"/>
        <v>N/A</v>
      </c>
      <c r="F103" s="271" cm="1">
        <f t="array" ref="F103">_xlfn.IFS('1. Questionnaire d''entretien '!B103=1,1,'1. Questionnaire d''entretien '!B103=2,0.75,'1. Questionnaire d''entretien '!B103=3,0.5)</f>
        <v>1</v>
      </c>
      <c r="G103" s="273" t="str">
        <f t="shared" si="6"/>
        <v>N/A</v>
      </c>
    </row>
    <row r="104" spans="2:7" x14ac:dyDescent="0.3">
      <c r="B104" s="253">
        <f t="shared" si="7"/>
        <v>101</v>
      </c>
      <c r="C104" s="271" t="str">
        <f>IF('1. Questionnaire d''entretien '!R104="","N/A",'1. Questionnaire d''entretien '!R104)</f>
        <v>N/A</v>
      </c>
      <c r="D104" s="271" t="str">
        <f>IF('1. Questionnaire d''entretien '!T104="","N/A",'1. Questionnaire d''entretien '!T104)</f>
        <v>N/A</v>
      </c>
      <c r="E104" s="271" t="str">
        <f t="shared" si="5"/>
        <v>N/A</v>
      </c>
      <c r="F104" s="271" cm="1">
        <f t="array" ref="F104">_xlfn.IFS('1. Questionnaire d''entretien '!B104=1,1,'1. Questionnaire d''entretien '!B104=2,0.75,'1. Questionnaire d''entretien '!B104=3,0.5)</f>
        <v>0.75</v>
      </c>
      <c r="G104" s="273" t="str">
        <f t="shared" si="6"/>
        <v>N/A</v>
      </c>
    </row>
    <row r="105" spans="2:7" x14ac:dyDescent="0.3">
      <c r="B105" s="253">
        <f t="shared" si="7"/>
        <v>102</v>
      </c>
      <c r="C105" s="271" t="str">
        <f>IF('1. Questionnaire d''entretien '!R105="","N/A",'1. Questionnaire d''entretien '!R105)</f>
        <v>N/A</v>
      </c>
      <c r="D105" s="271" t="str">
        <f>IF('1. Questionnaire d''entretien '!T105="","N/A",'1. Questionnaire d''entretien '!T105)</f>
        <v>N/A</v>
      </c>
      <c r="E105" s="271" t="str">
        <f t="shared" si="5"/>
        <v>N/A</v>
      </c>
      <c r="F105" s="271" cm="1">
        <f t="array" ref="F105">_xlfn.IFS('1. Questionnaire d''entretien '!B105=1,1,'1. Questionnaire d''entretien '!B105=2,0.75,'1. Questionnaire d''entretien '!B105=3,0.5)</f>
        <v>0.75</v>
      </c>
      <c r="G105" s="273" t="str">
        <f t="shared" si="6"/>
        <v>N/A</v>
      </c>
    </row>
    <row r="106" spans="2:7" x14ac:dyDescent="0.3">
      <c r="B106" s="253">
        <f t="shared" si="7"/>
        <v>103</v>
      </c>
      <c r="C106" s="271" t="str">
        <f>IF('1. Questionnaire d''entretien '!R106="","N/A",'1. Questionnaire d''entretien '!R106)</f>
        <v>N/A</v>
      </c>
      <c r="D106" s="271" t="str">
        <f>IF('1. Questionnaire d''entretien '!T106="","N/A",'1. Questionnaire d''entretien '!T106)</f>
        <v>N/A</v>
      </c>
      <c r="E106" s="271" t="str">
        <f t="shared" si="5"/>
        <v>N/A</v>
      </c>
      <c r="F106" s="271" cm="1">
        <f t="array" ref="F106">_xlfn.IFS('1. Questionnaire d''entretien '!B106=1,1,'1. Questionnaire d''entretien '!B106=2,0.75,'1. Questionnaire d''entretien '!B106=3,0.5)</f>
        <v>0.75</v>
      </c>
      <c r="G106" s="273" t="str">
        <f t="shared" si="6"/>
        <v>N/A</v>
      </c>
    </row>
    <row r="107" spans="2:7" x14ac:dyDescent="0.3">
      <c r="B107" s="253">
        <f t="shared" si="7"/>
        <v>104</v>
      </c>
      <c r="C107" s="271" t="str">
        <f>IF('1. Questionnaire d''entretien '!R107="","N/A",'1. Questionnaire d''entretien '!R107)</f>
        <v>N/A</v>
      </c>
      <c r="D107" s="271" t="str">
        <f>IF('1. Questionnaire d''entretien '!T107="","N/A",'1. Questionnaire d''entretien '!T107)</f>
        <v>N/A</v>
      </c>
      <c r="E107" s="271" t="str">
        <f t="shared" si="5"/>
        <v>N/A</v>
      </c>
      <c r="F107" s="271" cm="1">
        <f t="array" ref="F107">_xlfn.IFS('1. Questionnaire d''entretien '!B107=1,1,'1. Questionnaire d''entretien '!B107=2,0.75,'1. Questionnaire d''entretien '!B107=3,0.5)</f>
        <v>1</v>
      </c>
      <c r="G107" s="273" t="str">
        <f t="shared" si="6"/>
        <v>N/A</v>
      </c>
    </row>
    <row r="108" spans="2:7" x14ac:dyDescent="0.3">
      <c r="B108" s="253">
        <f t="shared" si="7"/>
        <v>105</v>
      </c>
      <c r="C108" s="271" t="str">
        <f>IF('1. Questionnaire d''entretien '!R108="","N/A",'1. Questionnaire d''entretien '!R108)</f>
        <v>N/A</v>
      </c>
      <c r="D108" s="271" t="str">
        <f>IF('1. Questionnaire d''entretien '!T108="","N/A",'1. Questionnaire d''entretien '!T108)</f>
        <v>N/A</v>
      </c>
      <c r="E108" s="271" t="str">
        <f t="shared" si="5"/>
        <v>N/A</v>
      </c>
      <c r="F108" s="271" cm="1">
        <f t="array" ref="F108">_xlfn.IFS('1. Questionnaire d''entretien '!B108=1,1,'1. Questionnaire d''entretien '!B108=2,0.75,'1. Questionnaire d''entretien '!B108=3,0.5)</f>
        <v>1</v>
      </c>
      <c r="G108" s="273" t="str">
        <f t="shared" si="6"/>
        <v>N/A</v>
      </c>
    </row>
    <row r="109" spans="2:7" x14ac:dyDescent="0.3">
      <c r="B109" s="253">
        <f t="shared" si="7"/>
        <v>106</v>
      </c>
      <c r="C109" s="271" t="str">
        <f>IF('1. Questionnaire d''entretien '!R109="","N/A",'1. Questionnaire d''entretien '!R109)</f>
        <v>N/A</v>
      </c>
      <c r="D109" s="271" t="str">
        <f>IF('1. Questionnaire d''entretien '!T109="","N/A",'1. Questionnaire d''entretien '!T109)</f>
        <v>N/A</v>
      </c>
      <c r="E109" s="271" t="str">
        <f t="shared" si="5"/>
        <v>N/A</v>
      </c>
      <c r="F109" s="271" cm="1">
        <f t="array" ref="F109">_xlfn.IFS('1. Questionnaire d''entretien '!B109=1,1,'1. Questionnaire d''entretien '!B109=2,0.75,'1. Questionnaire d''entretien '!B109=3,0.5)</f>
        <v>1</v>
      </c>
      <c r="G109" s="273" t="str">
        <f t="shared" si="6"/>
        <v>N/A</v>
      </c>
    </row>
    <row r="110" spans="2:7" x14ac:dyDescent="0.3">
      <c r="B110" s="253">
        <f t="shared" si="7"/>
        <v>107</v>
      </c>
      <c r="C110" s="271" t="str">
        <f>IF('1. Questionnaire d''entretien '!R110="","N/A",'1. Questionnaire d''entretien '!R110)</f>
        <v>N/A</v>
      </c>
      <c r="D110" s="271" t="str">
        <f>IF('1. Questionnaire d''entretien '!T110="","N/A",'1. Questionnaire d''entretien '!T110)</f>
        <v>N/A</v>
      </c>
      <c r="E110" s="271" t="str">
        <f t="shared" si="5"/>
        <v>N/A</v>
      </c>
      <c r="F110" s="271" cm="1">
        <f t="array" ref="F110">_xlfn.IFS('1. Questionnaire d''entretien '!B110=1,1,'1. Questionnaire d''entretien '!B110=2,0.75,'1. Questionnaire d''entretien '!B110=3,0.5)</f>
        <v>1</v>
      </c>
      <c r="G110" s="273" t="str">
        <f t="shared" si="6"/>
        <v>N/A</v>
      </c>
    </row>
    <row r="111" spans="2:7" x14ac:dyDescent="0.3">
      <c r="B111" s="253">
        <f t="shared" si="7"/>
        <v>108</v>
      </c>
      <c r="C111" s="271" t="str">
        <f>IF('1. Questionnaire d''entretien '!R111="","N/A",'1. Questionnaire d''entretien '!R111)</f>
        <v>N/A</v>
      </c>
      <c r="D111" s="271" t="str">
        <f>IF('1. Questionnaire d''entretien '!T111="","N/A",'1. Questionnaire d''entretien '!T111)</f>
        <v>N/A</v>
      </c>
      <c r="E111" s="271" t="str">
        <f t="shared" si="5"/>
        <v>N/A</v>
      </c>
      <c r="F111" s="271" cm="1">
        <f t="array" ref="F111">_xlfn.IFS('1. Questionnaire d''entretien '!B111=1,1,'1. Questionnaire d''entretien '!B111=2,0.75,'1. Questionnaire d''entretien '!B111=3,0.5)</f>
        <v>0.75</v>
      </c>
      <c r="G111" s="273" t="str">
        <f t="shared" si="6"/>
        <v>N/A</v>
      </c>
    </row>
    <row r="112" spans="2:7" x14ac:dyDescent="0.3">
      <c r="B112" s="253">
        <f t="shared" si="7"/>
        <v>109</v>
      </c>
      <c r="C112" s="271" t="str">
        <f>IF('1. Questionnaire d''entretien '!R112="","N/A",'1. Questionnaire d''entretien '!R112)</f>
        <v>N/A</v>
      </c>
      <c r="D112" s="271" t="str">
        <f>IF('1. Questionnaire d''entretien '!T112="","N/A",'1. Questionnaire d''entretien '!T112)</f>
        <v>N/A</v>
      </c>
      <c r="E112" s="271" t="str">
        <f t="shared" si="5"/>
        <v>N/A</v>
      </c>
      <c r="F112" s="271" cm="1">
        <f t="array" ref="F112">_xlfn.IFS('1. Questionnaire d''entretien '!B112=1,1,'1. Questionnaire d''entretien '!B112=2,0.75,'1. Questionnaire d''entretien '!B112=3,0.5)</f>
        <v>0.75</v>
      </c>
      <c r="G112" s="273" t="str">
        <f t="shared" si="6"/>
        <v>N/A</v>
      </c>
    </row>
    <row r="113" spans="2:7" x14ac:dyDescent="0.3">
      <c r="B113" s="253">
        <f t="shared" si="7"/>
        <v>110</v>
      </c>
      <c r="C113" s="271" t="str">
        <f>IF('1. Questionnaire d''entretien '!R113="","N/A",'1. Questionnaire d''entretien '!R113)</f>
        <v>N/A</v>
      </c>
      <c r="D113" s="271" t="str">
        <f>IF('1. Questionnaire d''entretien '!T113="","N/A",'1. Questionnaire d''entretien '!T113)</f>
        <v>N/A</v>
      </c>
      <c r="E113" s="271" t="str">
        <f t="shared" si="5"/>
        <v>N/A</v>
      </c>
      <c r="F113" s="271" cm="1">
        <f t="array" ref="F113">_xlfn.IFS('1. Questionnaire d''entretien '!B113=1,1,'1. Questionnaire d''entretien '!B113=2,0.75,'1. Questionnaire d''entretien '!B113=3,0.5)</f>
        <v>0.75</v>
      </c>
      <c r="G113" s="273" t="str">
        <f t="shared" si="6"/>
        <v>N/A</v>
      </c>
    </row>
    <row r="114" spans="2:7" x14ac:dyDescent="0.3">
      <c r="B114" s="253">
        <f t="shared" si="7"/>
        <v>111</v>
      </c>
      <c r="C114" s="271" t="str">
        <f>IF('1. Questionnaire d''entretien '!R114="","N/A",'1. Questionnaire d''entretien '!R114)</f>
        <v>N/A</v>
      </c>
      <c r="D114" s="271" t="str">
        <f>IF('1. Questionnaire d''entretien '!T114="","N/A",'1. Questionnaire d''entretien '!T114)</f>
        <v>N/A</v>
      </c>
      <c r="E114" s="271" t="str">
        <f t="shared" si="5"/>
        <v>N/A</v>
      </c>
      <c r="F114" s="271" cm="1">
        <f t="array" ref="F114">_xlfn.IFS('1. Questionnaire d''entretien '!B114=1,1,'1. Questionnaire d''entretien '!B114=2,0.75,'1. Questionnaire d''entretien '!B114=3,0.5)</f>
        <v>0.75</v>
      </c>
      <c r="G114" s="273" t="str">
        <f t="shared" si="6"/>
        <v>N/A</v>
      </c>
    </row>
    <row r="115" spans="2:7" x14ac:dyDescent="0.3">
      <c r="B115" s="253">
        <f t="shared" si="7"/>
        <v>112</v>
      </c>
      <c r="C115" s="271" t="str">
        <f>IF('1. Questionnaire d''entretien '!R115="","N/A",'1. Questionnaire d''entretien '!R115)</f>
        <v>N/A</v>
      </c>
      <c r="D115" s="271" t="str">
        <f>IF('1. Questionnaire d''entretien '!T115="","N/A",'1. Questionnaire d''entretien '!T115)</f>
        <v>N/A</v>
      </c>
      <c r="E115" s="271" t="str">
        <f t="shared" si="5"/>
        <v>N/A</v>
      </c>
      <c r="F115" s="271" cm="1">
        <f t="array" ref="F115">_xlfn.IFS('1. Questionnaire d''entretien '!B115=1,1,'1. Questionnaire d''entretien '!B115=2,0.75,'1. Questionnaire d''entretien '!B115=3,0.5)</f>
        <v>0.75</v>
      </c>
      <c r="G115" s="273" t="str">
        <f t="shared" si="6"/>
        <v>N/A</v>
      </c>
    </row>
    <row r="116" spans="2:7" x14ac:dyDescent="0.3">
      <c r="B116" s="253">
        <f t="shared" si="7"/>
        <v>113</v>
      </c>
      <c r="C116" s="271" t="str">
        <f>IF('1. Questionnaire d''entretien '!R116="","N/A",'1. Questionnaire d''entretien '!R116)</f>
        <v>N/A</v>
      </c>
      <c r="D116" s="271" t="str">
        <f>IF('1. Questionnaire d''entretien '!T116="","N/A",'1. Questionnaire d''entretien '!T116)</f>
        <v>N/A</v>
      </c>
      <c r="E116" s="271" t="str">
        <f t="shared" si="5"/>
        <v>N/A</v>
      </c>
      <c r="F116" s="271" cm="1">
        <f t="array" ref="F116">_xlfn.IFS('1. Questionnaire d''entretien '!B116=1,1,'1. Questionnaire d''entretien '!B116=2,0.75,'1. Questionnaire d''entretien '!B116=3,0.5)</f>
        <v>0.75</v>
      </c>
      <c r="G116" s="273" t="str">
        <f t="shared" si="6"/>
        <v>N/A</v>
      </c>
    </row>
    <row r="117" spans="2:7" x14ac:dyDescent="0.3">
      <c r="B117" s="253">
        <f t="shared" si="7"/>
        <v>114</v>
      </c>
      <c r="C117" s="271" t="str">
        <f>IF('1. Questionnaire d''entretien '!R117="","N/A",'1. Questionnaire d''entretien '!R117)</f>
        <v>N/A</v>
      </c>
      <c r="D117" s="271" t="str">
        <f>IF('1. Questionnaire d''entretien '!T117="","N/A",'1. Questionnaire d''entretien '!T117)</f>
        <v>N/A</v>
      </c>
      <c r="E117" s="271" t="str">
        <f t="shared" si="5"/>
        <v>N/A</v>
      </c>
      <c r="F117" s="271" cm="1">
        <f t="array" ref="F117">_xlfn.IFS('1. Questionnaire d''entretien '!B117=1,1,'1. Questionnaire d''entretien '!B117=2,0.75,'1. Questionnaire d''entretien '!B117=3,0.5)</f>
        <v>0.75</v>
      </c>
      <c r="G117" s="273" t="str">
        <f t="shared" si="6"/>
        <v>N/A</v>
      </c>
    </row>
    <row r="118" spans="2:7" x14ac:dyDescent="0.3">
      <c r="B118" s="253">
        <f t="shared" si="7"/>
        <v>115</v>
      </c>
      <c r="C118" s="271" t="str">
        <f>IF('1. Questionnaire d''entretien '!R118="","N/A",'1. Questionnaire d''entretien '!R118)</f>
        <v>N/A</v>
      </c>
      <c r="D118" s="271" t="str">
        <f>IF('1. Questionnaire d''entretien '!T118="","N/A",'1. Questionnaire d''entretien '!T118)</f>
        <v>N/A</v>
      </c>
      <c r="E118" s="271" t="str">
        <f t="shared" si="5"/>
        <v>N/A</v>
      </c>
      <c r="F118" s="271" cm="1">
        <f t="array" ref="F118">_xlfn.IFS('1. Questionnaire d''entretien '!B118=1,1,'1. Questionnaire d''entretien '!B118=2,0.75,'1. Questionnaire d''entretien '!B118=3,0.5)</f>
        <v>0.5</v>
      </c>
      <c r="G118" s="273" t="str">
        <f t="shared" si="6"/>
        <v>N/A</v>
      </c>
    </row>
    <row r="119" spans="2:7" x14ac:dyDescent="0.3">
      <c r="B119" s="253">
        <f t="shared" si="7"/>
        <v>116</v>
      </c>
      <c r="C119" s="271" t="str">
        <f>IF('1. Questionnaire d''entretien '!R119="","N/A",'1. Questionnaire d''entretien '!R119)</f>
        <v>N/A</v>
      </c>
      <c r="D119" s="271" t="str">
        <f>IF('1. Questionnaire d''entretien '!T119="","N/A",'1. Questionnaire d''entretien '!T119)</f>
        <v>N/A</v>
      </c>
      <c r="E119" s="271" t="str">
        <f t="shared" si="5"/>
        <v>N/A</v>
      </c>
      <c r="F119" s="271" cm="1">
        <f t="array" ref="F119">_xlfn.IFS('1. Questionnaire d''entretien '!B119=1,1,'1. Questionnaire d''entretien '!B119=2,0.75,'1. Questionnaire d''entretien '!B119=3,0.5)</f>
        <v>1</v>
      </c>
      <c r="G119" s="273" t="str">
        <f t="shared" si="6"/>
        <v>N/A</v>
      </c>
    </row>
    <row r="120" spans="2:7" x14ac:dyDescent="0.3">
      <c r="B120" s="253">
        <f t="shared" si="7"/>
        <v>117</v>
      </c>
      <c r="C120" s="271" t="str">
        <f>IF('1. Questionnaire d''entretien '!R120="","N/A",'1. Questionnaire d''entretien '!R120)</f>
        <v>N/A</v>
      </c>
      <c r="D120" s="271" t="str">
        <f>IF('1. Questionnaire d''entretien '!T120="","N/A",'1. Questionnaire d''entretien '!T120)</f>
        <v>N/A</v>
      </c>
      <c r="E120" s="271" t="str">
        <f t="shared" si="5"/>
        <v>N/A</v>
      </c>
      <c r="F120" s="271" cm="1">
        <f t="array" ref="F120">_xlfn.IFS('1. Questionnaire d''entretien '!B120=1,1,'1. Questionnaire d''entretien '!B120=2,0.75,'1. Questionnaire d''entretien '!B120=3,0.5)</f>
        <v>1</v>
      </c>
      <c r="G120" s="273" t="str">
        <f t="shared" si="6"/>
        <v>N/A</v>
      </c>
    </row>
    <row r="121" spans="2:7" x14ac:dyDescent="0.3">
      <c r="B121" s="253">
        <f t="shared" si="7"/>
        <v>118</v>
      </c>
      <c r="C121" s="271" t="str">
        <f>IF('1. Questionnaire d''entretien '!R121="","N/A",'1. Questionnaire d''entretien '!R121)</f>
        <v>N/A</v>
      </c>
      <c r="D121" s="271" t="str">
        <f>IF('1. Questionnaire d''entretien '!T121="","N/A",'1. Questionnaire d''entretien '!T121)</f>
        <v>N/A</v>
      </c>
      <c r="E121" s="271" t="str">
        <f t="shared" si="5"/>
        <v>N/A</v>
      </c>
      <c r="F121" s="271" cm="1">
        <f t="array" ref="F121">_xlfn.IFS('1. Questionnaire d''entretien '!B121=1,1,'1. Questionnaire d''entretien '!B121=2,0.75,'1. Questionnaire d''entretien '!B121=3,0.5)</f>
        <v>1</v>
      </c>
      <c r="G121" s="273" t="str">
        <f t="shared" si="6"/>
        <v>N/A</v>
      </c>
    </row>
    <row r="122" spans="2:7" x14ac:dyDescent="0.3">
      <c r="B122" s="253">
        <f t="shared" si="7"/>
        <v>119</v>
      </c>
      <c r="C122" s="271" t="str">
        <f>IF('1. Questionnaire d''entretien '!R122="","N/A",'1. Questionnaire d''entretien '!R122)</f>
        <v>N/A</v>
      </c>
      <c r="D122" s="271" t="str">
        <f>IF('1. Questionnaire d''entretien '!T122="","N/A",'1. Questionnaire d''entretien '!T122)</f>
        <v>N/A</v>
      </c>
      <c r="E122" s="271" t="str">
        <f t="shared" si="5"/>
        <v>N/A</v>
      </c>
      <c r="F122" s="271" cm="1">
        <f t="array" ref="F122">_xlfn.IFS('1. Questionnaire d''entretien '!B122=1,1,'1. Questionnaire d''entretien '!B122=2,0.75,'1. Questionnaire d''entretien '!B122=3,0.5)</f>
        <v>0.75</v>
      </c>
      <c r="G122" s="273" t="str">
        <f t="shared" si="6"/>
        <v>N/A</v>
      </c>
    </row>
    <row r="123" spans="2:7" x14ac:dyDescent="0.3">
      <c r="B123" s="253">
        <f t="shared" si="7"/>
        <v>120</v>
      </c>
      <c r="C123" s="271" t="str">
        <f>IF('1. Questionnaire d''entretien '!R123="","N/A",'1. Questionnaire d''entretien '!R123)</f>
        <v>N/A</v>
      </c>
      <c r="D123" s="271" t="str">
        <f>IF('1. Questionnaire d''entretien '!T123="","N/A",'1. Questionnaire d''entretien '!T123)</f>
        <v>N/A</v>
      </c>
      <c r="E123" s="271" t="str">
        <f t="shared" si="5"/>
        <v>N/A</v>
      </c>
      <c r="F123" s="271" cm="1">
        <f t="array" ref="F123">_xlfn.IFS('1. Questionnaire d''entretien '!B123=1,1,'1. Questionnaire d''entretien '!B123=2,0.75,'1. Questionnaire d''entretien '!B123=3,0.5)</f>
        <v>0.75</v>
      </c>
      <c r="G123" s="273" t="str">
        <f t="shared" si="6"/>
        <v>N/A</v>
      </c>
    </row>
    <row r="124" spans="2:7" x14ac:dyDescent="0.3">
      <c r="B124" s="253">
        <f t="shared" si="7"/>
        <v>121</v>
      </c>
      <c r="C124" s="271" t="str">
        <f>IF('1. Questionnaire d''entretien '!R124="","N/A",'1. Questionnaire d''entretien '!R124)</f>
        <v>N/A</v>
      </c>
      <c r="D124" s="271" t="str">
        <f>IF('1. Questionnaire d''entretien '!T124="","N/A",'1. Questionnaire d''entretien '!T124)</f>
        <v>N/A</v>
      </c>
      <c r="E124" s="271" t="str">
        <f t="shared" si="5"/>
        <v>N/A</v>
      </c>
      <c r="F124" s="271" cm="1">
        <f t="array" ref="F124">_xlfn.IFS('1. Questionnaire d''entretien '!B124=1,1,'1. Questionnaire d''entretien '!B124=2,0.75,'1. Questionnaire d''entretien '!B124=3,0.5)</f>
        <v>0.75</v>
      </c>
      <c r="G124" s="273" t="str">
        <f t="shared" si="6"/>
        <v>N/A</v>
      </c>
    </row>
    <row r="125" spans="2:7" x14ac:dyDescent="0.3">
      <c r="B125" s="253">
        <f t="shared" si="7"/>
        <v>122</v>
      </c>
      <c r="C125" s="271" t="str">
        <f>IF('1. Questionnaire d''entretien '!R125="","N/A",'1. Questionnaire d''entretien '!R125)</f>
        <v>N/A</v>
      </c>
      <c r="D125" s="271" t="str">
        <f>IF('1. Questionnaire d''entretien '!T125="","N/A",'1. Questionnaire d''entretien '!T125)</f>
        <v>N/A</v>
      </c>
      <c r="E125" s="271" t="str">
        <f t="shared" si="5"/>
        <v>N/A</v>
      </c>
      <c r="F125" s="271" cm="1">
        <f t="array" ref="F125">_xlfn.IFS('1. Questionnaire d''entretien '!B125=1,1,'1. Questionnaire d''entretien '!B125=2,0.75,'1. Questionnaire d''entretien '!B125=3,0.5)</f>
        <v>1</v>
      </c>
      <c r="G125" s="273" t="str">
        <f t="shared" si="6"/>
        <v>N/A</v>
      </c>
    </row>
    <row r="126" spans="2:7" x14ac:dyDescent="0.3">
      <c r="B126" s="253">
        <f t="shared" si="7"/>
        <v>123</v>
      </c>
      <c r="C126" s="271" t="str">
        <f>IF('1. Questionnaire d''entretien '!R126="","N/A",'1. Questionnaire d''entretien '!R126)</f>
        <v>N/A</v>
      </c>
      <c r="D126" s="271" t="str">
        <f>IF('1. Questionnaire d''entretien '!T126="","N/A",'1. Questionnaire d''entretien '!T126)</f>
        <v>N/A</v>
      </c>
      <c r="E126" s="271" t="str">
        <f t="shared" si="5"/>
        <v>N/A</v>
      </c>
      <c r="F126" s="271" cm="1">
        <f t="array" ref="F126">_xlfn.IFS('1. Questionnaire d''entretien '!B126=1,1,'1. Questionnaire d''entretien '!B126=2,0.75,'1. Questionnaire d''entretien '!B126=3,0.5)</f>
        <v>1</v>
      </c>
      <c r="G126" s="273" t="str">
        <f t="shared" si="6"/>
        <v>N/A</v>
      </c>
    </row>
    <row r="127" spans="2:7" x14ac:dyDescent="0.3">
      <c r="B127" s="253">
        <f t="shared" si="7"/>
        <v>124</v>
      </c>
      <c r="C127" s="271" t="str">
        <f>IF('1. Questionnaire d''entretien '!R127="","N/A",'1. Questionnaire d''entretien '!R127)</f>
        <v>N/A</v>
      </c>
      <c r="D127" s="271" t="str">
        <f>IF('1. Questionnaire d''entretien '!T127="","N/A",'1. Questionnaire d''entretien '!T127)</f>
        <v>N/A</v>
      </c>
      <c r="E127" s="271" t="str">
        <f t="shared" si="5"/>
        <v>N/A</v>
      </c>
      <c r="F127" s="271" cm="1">
        <f t="array" ref="F127">_xlfn.IFS('1. Questionnaire d''entretien '!B127=1,1,'1. Questionnaire d''entretien '!B127=2,0.75,'1. Questionnaire d''entretien '!B127=3,0.5)</f>
        <v>1</v>
      </c>
      <c r="G127" s="273" t="str">
        <f t="shared" si="6"/>
        <v>N/A</v>
      </c>
    </row>
    <row r="128" spans="2:7" x14ac:dyDescent="0.3">
      <c r="B128" s="253">
        <f t="shared" si="7"/>
        <v>125</v>
      </c>
      <c r="C128" s="271" t="str">
        <f>IF('1. Questionnaire d''entretien '!R128="","N/A",'1. Questionnaire d''entretien '!R128)</f>
        <v>N/A</v>
      </c>
      <c r="D128" s="271" t="str">
        <f>IF('1. Questionnaire d''entretien '!T128="","N/A",'1. Questionnaire d''entretien '!T128)</f>
        <v>N/A</v>
      </c>
      <c r="E128" s="271" t="str">
        <f t="shared" si="5"/>
        <v>N/A</v>
      </c>
      <c r="F128" s="271" cm="1">
        <f t="array" ref="F128">_xlfn.IFS('1. Questionnaire d''entretien '!B128=1,1,'1. Questionnaire d''entretien '!B128=2,0.75,'1. Questionnaire d''entretien '!B128=3,0.5)</f>
        <v>0.5</v>
      </c>
      <c r="G128" s="273" t="str">
        <f t="shared" si="6"/>
        <v>N/A</v>
      </c>
    </row>
    <row r="129" spans="2:7" x14ac:dyDescent="0.3">
      <c r="B129" s="253">
        <f t="shared" si="7"/>
        <v>126</v>
      </c>
      <c r="C129" s="271" t="str">
        <f>IF('1. Questionnaire d''entretien '!R129="","N/A",'1. Questionnaire d''entretien '!R129)</f>
        <v>N/A</v>
      </c>
      <c r="D129" s="271" t="str">
        <f>IF('1. Questionnaire d''entretien '!T129="","N/A",'1. Questionnaire d''entretien '!T129)</f>
        <v>N/A</v>
      </c>
      <c r="E129" s="271" t="str">
        <f t="shared" si="5"/>
        <v>N/A</v>
      </c>
      <c r="F129" s="271" cm="1">
        <f t="array" ref="F129">_xlfn.IFS('1. Questionnaire d''entretien '!B129=1,1,'1. Questionnaire d''entretien '!B129=2,0.75,'1. Questionnaire d''entretien '!B129=3,0.5)</f>
        <v>0.5</v>
      </c>
      <c r="G129" s="273" t="str">
        <f t="shared" si="6"/>
        <v>N/A</v>
      </c>
    </row>
    <row r="130" spans="2:7" x14ac:dyDescent="0.3">
      <c r="B130" s="253">
        <f t="shared" si="7"/>
        <v>127</v>
      </c>
      <c r="C130" s="271" t="str">
        <f>IF('1. Questionnaire d''entretien '!R130="","N/A",'1. Questionnaire d''entretien '!R130)</f>
        <v>N/A</v>
      </c>
      <c r="D130" s="271" t="str">
        <f>IF('1. Questionnaire d''entretien '!T130="","N/A",'1. Questionnaire d''entretien '!T130)</f>
        <v>N/A</v>
      </c>
      <c r="E130" s="271" t="str">
        <f t="shared" si="5"/>
        <v>N/A</v>
      </c>
      <c r="F130" s="271" cm="1">
        <f t="array" ref="F130">_xlfn.IFS('1. Questionnaire d''entretien '!B130=1,1,'1. Questionnaire d''entretien '!B130=2,0.75,'1. Questionnaire d''entretien '!B130=3,0.5)</f>
        <v>1</v>
      </c>
      <c r="G130" s="273" t="str">
        <f t="shared" si="6"/>
        <v>N/A</v>
      </c>
    </row>
    <row r="131" spans="2:7" x14ac:dyDescent="0.3">
      <c r="B131" s="253">
        <f t="shared" si="7"/>
        <v>128</v>
      </c>
      <c r="C131" s="271" t="str">
        <f>IF('1. Questionnaire d''entretien '!R131="","N/A",'1. Questionnaire d''entretien '!R131)</f>
        <v>N/A</v>
      </c>
      <c r="D131" s="271" t="str">
        <f>IF('1. Questionnaire d''entretien '!T131="","N/A",'1. Questionnaire d''entretien '!T131)</f>
        <v>N/A</v>
      </c>
      <c r="E131" s="271" t="str">
        <f t="shared" si="5"/>
        <v>N/A</v>
      </c>
      <c r="F131" s="271" cm="1">
        <f t="array" ref="F131">_xlfn.IFS('1. Questionnaire d''entretien '!B131=1,1,'1. Questionnaire d''entretien '!B131=2,0.75,'1. Questionnaire d''entretien '!B131=3,0.5)</f>
        <v>0.75</v>
      </c>
      <c r="G131" s="273" t="str">
        <f t="shared" si="6"/>
        <v>N/A</v>
      </c>
    </row>
    <row r="132" spans="2:7" x14ac:dyDescent="0.3">
      <c r="B132" s="253">
        <f t="shared" si="7"/>
        <v>129</v>
      </c>
      <c r="C132" s="271" t="str">
        <f>IF('1. Questionnaire d''entretien '!R132="","N/A",'1. Questionnaire d''entretien '!R132)</f>
        <v>N/A</v>
      </c>
      <c r="D132" s="271" t="str">
        <f>IF('1. Questionnaire d''entretien '!T132="","N/A",'1. Questionnaire d''entretien '!T132)</f>
        <v>N/A</v>
      </c>
      <c r="E132" s="271" t="str">
        <f t="shared" ref="E132:E195" si="8">IF(AND(C132="N/A",D132="N/A"),"N/A",AVERAGE(C132:D132))</f>
        <v>N/A</v>
      </c>
      <c r="F132" s="271" cm="1">
        <f t="array" ref="F132">_xlfn.IFS('1. Questionnaire d''entretien '!B132=1,1,'1. Questionnaire d''entretien '!B132=2,0.75,'1. Questionnaire d''entretien '!B132=3,0.5)</f>
        <v>1</v>
      </c>
      <c r="G132" s="273" t="str">
        <f t="shared" ref="G132:G195" si="9">IF(E132="N/A","N/A",E132*F132)</f>
        <v>N/A</v>
      </c>
    </row>
    <row r="133" spans="2:7" x14ac:dyDescent="0.3">
      <c r="B133" s="253">
        <f t="shared" si="7"/>
        <v>130</v>
      </c>
      <c r="C133" s="271" t="str">
        <f>IF('1. Questionnaire d''entretien '!R133="","N/A",'1. Questionnaire d''entretien '!R133)</f>
        <v>N/A</v>
      </c>
      <c r="D133" s="271" t="str">
        <f>IF('1. Questionnaire d''entretien '!T133="","N/A",'1. Questionnaire d''entretien '!T133)</f>
        <v>N/A</v>
      </c>
      <c r="E133" s="271" t="str">
        <f t="shared" si="8"/>
        <v>N/A</v>
      </c>
      <c r="F133" s="271" cm="1">
        <f t="array" ref="F133">_xlfn.IFS('1. Questionnaire d''entretien '!B133=1,1,'1. Questionnaire d''entretien '!B133=2,0.75,'1. Questionnaire d''entretien '!B133=3,0.5)</f>
        <v>0.75</v>
      </c>
      <c r="G133" s="273" t="str">
        <f t="shared" si="9"/>
        <v>N/A</v>
      </c>
    </row>
    <row r="134" spans="2:7" x14ac:dyDescent="0.3">
      <c r="B134" s="253">
        <f t="shared" ref="B134:B197" si="10">B133+1</f>
        <v>131</v>
      </c>
      <c r="C134" s="271" t="str">
        <f>IF('1. Questionnaire d''entretien '!R134="","N/A",'1. Questionnaire d''entretien '!R134)</f>
        <v>N/A</v>
      </c>
      <c r="D134" s="271" t="str">
        <f>IF('1. Questionnaire d''entretien '!T134="","N/A",'1. Questionnaire d''entretien '!T134)</f>
        <v>N/A</v>
      </c>
      <c r="E134" s="271" t="str">
        <f t="shared" si="8"/>
        <v>N/A</v>
      </c>
      <c r="F134" s="271" cm="1">
        <f t="array" ref="F134">_xlfn.IFS('1. Questionnaire d''entretien '!B134=1,1,'1. Questionnaire d''entretien '!B134=2,0.75,'1. Questionnaire d''entretien '!B134=3,0.5)</f>
        <v>0.5</v>
      </c>
      <c r="G134" s="273" t="str">
        <f t="shared" si="9"/>
        <v>N/A</v>
      </c>
    </row>
    <row r="135" spans="2:7" x14ac:dyDescent="0.3">
      <c r="B135" s="253">
        <f t="shared" si="10"/>
        <v>132</v>
      </c>
      <c r="C135" s="271" t="str">
        <f>IF('1. Questionnaire d''entretien '!R135="","N/A",'1. Questionnaire d''entretien '!R135)</f>
        <v>N/A</v>
      </c>
      <c r="D135" s="271" t="str">
        <f>IF('1. Questionnaire d''entretien '!T135="","N/A",'1. Questionnaire d''entretien '!T135)</f>
        <v>N/A</v>
      </c>
      <c r="E135" s="271" t="str">
        <f t="shared" si="8"/>
        <v>N/A</v>
      </c>
      <c r="F135" s="271" cm="1">
        <f t="array" ref="F135">_xlfn.IFS('1. Questionnaire d''entretien '!B135=1,1,'1. Questionnaire d''entretien '!B135=2,0.75,'1. Questionnaire d''entretien '!B135=3,0.5)</f>
        <v>1</v>
      </c>
      <c r="G135" s="273" t="str">
        <f t="shared" si="9"/>
        <v>N/A</v>
      </c>
    </row>
    <row r="136" spans="2:7" x14ac:dyDescent="0.3">
      <c r="B136" s="253">
        <f t="shared" si="10"/>
        <v>133</v>
      </c>
      <c r="C136" s="271" t="str">
        <f>IF('1. Questionnaire d''entretien '!R136="","N/A",'1. Questionnaire d''entretien '!R136)</f>
        <v>N/A</v>
      </c>
      <c r="D136" s="271" t="str">
        <f>IF('1. Questionnaire d''entretien '!T136="","N/A",'1. Questionnaire d''entretien '!T136)</f>
        <v>N/A</v>
      </c>
      <c r="E136" s="271" t="str">
        <f t="shared" si="8"/>
        <v>N/A</v>
      </c>
      <c r="F136" s="271" cm="1">
        <f t="array" ref="F136">_xlfn.IFS('1. Questionnaire d''entretien '!B136=1,1,'1. Questionnaire d''entretien '!B136=2,0.75,'1. Questionnaire d''entretien '!B136=3,0.5)</f>
        <v>0.75</v>
      </c>
      <c r="G136" s="273" t="str">
        <f t="shared" si="9"/>
        <v>N/A</v>
      </c>
    </row>
    <row r="137" spans="2:7" x14ac:dyDescent="0.3">
      <c r="B137" s="253">
        <f t="shared" si="10"/>
        <v>134</v>
      </c>
      <c r="C137" s="271" t="str">
        <f>IF('1. Questionnaire d''entretien '!R137="","N/A",'1. Questionnaire d''entretien '!R137)</f>
        <v>N/A</v>
      </c>
      <c r="D137" s="271" t="str">
        <f>IF('1. Questionnaire d''entretien '!T137="","N/A",'1. Questionnaire d''entretien '!T137)</f>
        <v>N/A</v>
      </c>
      <c r="E137" s="271" t="str">
        <f t="shared" si="8"/>
        <v>N/A</v>
      </c>
      <c r="F137" s="271" cm="1">
        <f t="array" ref="F137">_xlfn.IFS('1. Questionnaire d''entretien '!B137=1,1,'1. Questionnaire d''entretien '!B137=2,0.75,'1. Questionnaire d''entretien '!B137=3,0.5)</f>
        <v>1</v>
      </c>
      <c r="G137" s="273" t="str">
        <f t="shared" si="9"/>
        <v>N/A</v>
      </c>
    </row>
    <row r="138" spans="2:7" x14ac:dyDescent="0.3">
      <c r="B138" s="253">
        <f t="shared" si="10"/>
        <v>135</v>
      </c>
      <c r="C138" s="271" t="str">
        <f>IF('1. Questionnaire d''entretien '!R138="","N/A",'1. Questionnaire d''entretien '!R138)</f>
        <v>N/A</v>
      </c>
      <c r="D138" s="271" t="str">
        <f>IF('1. Questionnaire d''entretien '!T138="","N/A",'1. Questionnaire d''entretien '!T138)</f>
        <v>N/A</v>
      </c>
      <c r="E138" s="271" t="str">
        <f t="shared" si="8"/>
        <v>N/A</v>
      </c>
      <c r="F138" s="271" cm="1">
        <f t="array" ref="F138">_xlfn.IFS('1. Questionnaire d''entretien '!B138=1,1,'1. Questionnaire d''entretien '!B138=2,0.75,'1. Questionnaire d''entretien '!B138=3,0.5)</f>
        <v>1</v>
      </c>
      <c r="G138" s="273" t="str">
        <f t="shared" si="9"/>
        <v>N/A</v>
      </c>
    </row>
    <row r="139" spans="2:7" x14ac:dyDescent="0.3">
      <c r="B139" s="253">
        <f t="shared" si="10"/>
        <v>136</v>
      </c>
      <c r="C139" s="271" t="str">
        <f>IF('1. Questionnaire d''entretien '!R139="","N/A",'1. Questionnaire d''entretien '!R139)</f>
        <v>N/A</v>
      </c>
      <c r="D139" s="271" t="str">
        <f>IF('1. Questionnaire d''entretien '!T139="","N/A",'1. Questionnaire d''entretien '!T139)</f>
        <v>N/A</v>
      </c>
      <c r="E139" s="271" t="str">
        <f t="shared" si="8"/>
        <v>N/A</v>
      </c>
      <c r="F139" s="271" cm="1">
        <f t="array" ref="F139">_xlfn.IFS('1. Questionnaire d''entretien '!B139=1,1,'1. Questionnaire d''entretien '!B139=2,0.75,'1. Questionnaire d''entretien '!B139=3,0.5)</f>
        <v>1</v>
      </c>
      <c r="G139" s="273" t="str">
        <f t="shared" si="9"/>
        <v>N/A</v>
      </c>
    </row>
    <row r="140" spans="2:7" x14ac:dyDescent="0.3">
      <c r="B140" s="253">
        <f t="shared" si="10"/>
        <v>137</v>
      </c>
      <c r="C140" s="271" t="str">
        <f>IF('1. Questionnaire d''entretien '!R140="","N/A",'1. Questionnaire d''entretien '!R140)</f>
        <v>N/A</v>
      </c>
      <c r="D140" s="271" t="str">
        <f>IF('1. Questionnaire d''entretien '!T140="","N/A",'1. Questionnaire d''entretien '!T140)</f>
        <v>N/A</v>
      </c>
      <c r="E140" s="271" t="str">
        <f t="shared" si="8"/>
        <v>N/A</v>
      </c>
      <c r="F140" s="271" cm="1">
        <f t="array" ref="F140">_xlfn.IFS('1. Questionnaire d''entretien '!B140=1,1,'1. Questionnaire d''entretien '!B140=2,0.75,'1. Questionnaire d''entretien '!B140=3,0.5)</f>
        <v>1</v>
      </c>
      <c r="G140" s="273" t="str">
        <f t="shared" si="9"/>
        <v>N/A</v>
      </c>
    </row>
    <row r="141" spans="2:7" x14ac:dyDescent="0.3">
      <c r="B141" s="253">
        <f t="shared" si="10"/>
        <v>138</v>
      </c>
      <c r="C141" s="271" t="str">
        <f>IF('1. Questionnaire d''entretien '!R141="","N/A",'1. Questionnaire d''entretien '!R141)</f>
        <v>N/A</v>
      </c>
      <c r="D141" s="271" t="str">
        <f>IF('1. Questionnaire d''entretien '!T141="","N/A",'1. Questionnaire d''entretien '!T141)</f>
        <v>N/A</v>
      </c>
      <c r="E141" s="271" t="str">
        <f t="shared" si="8"/>
        <v>N/A</v>
      </c>
      <c r="F141" s="271" cm="1">
        <f t="array" ref="F141">_xlfn.IFS('1. Questionnaire d''entretien '!B141=1,1,'1. Questionnaire d''entretien '!B141=2,0.75,'1. Questionnaire d''entretien '!B141=3,0.5)</f>
        <v>0.75</v>
      </c>
      <c r="G141" s="273" t="str">
        <f t="shared" si="9"/>
        <v>N/A</v>
      </c>
    </row>
    <row r="142" spans="2:7" x14ac:dyDescent="0.3">
      <c r="B142" s="253">
        <f t="shared" si="10"/>
        <v>139</v>
      </c>
      <c r="C142" s="271" t="str">
        <f>IF('1. Questionnaire d''entretien '!R142="","N/A",'1. Questionnaire d''entretien '!R142)</f>
        <v>N/A</v>
      </c>
      <c r="D142" s="271" t="str">
        <f>IF('1. Questionnaire d''entretien '!T142="","N/A",'1. Questionnaire d''entretien '!T142)</f>
        <v>N/A</v>
      </c>
      <c r="E142" s="271" t="str">
        <f t="shared" si="8"/>
        <v>N/A</v>
      </c>
      <c r="F142" s="271" cm="1">
        <f t="array" ref="F142">_xlfn.IFS('1. Questionnaire d''entretien '!B142=1,1,'1. Questionnaire d''entretien '!B142=2,0.75,'1. Questionnaire d''entretien '!B142=3,0.5)</f>
        <v>0.75</v>
      </c>
      <c r="G142" s="273" t="str">
        <f t="shared" si="9"/>
        <v>N/A</v>
      </c>
    </row>
    <row r="143" spans="2:7" x14ac:dyDescent="0.3">
      <c r="B143" s="253">
        <f t="shared" si="10"/>
        <v>140</v>
      </c>
      <c r="C143" s="271" t="str">
        <f>IF('1. Questionnaire d''entretien '!R143="","N/A",'1. Questionnaire d''entretien '!R143)</f>
        <v>N/A</v>
      </c>
      <c r="D143" s="271" t="str">
        <f>IF('1. Questionnaire d''entretien '!T143="","N/A",'1. Questionnaire d''entretien '!T143)</f>
        <v>N/A</v>
      </c>
      <c r="E143" s="271" t="str">
        <f t="shared" si="8"/>
        <v>N/A</v>
      </c>
      <c r="F143" s="271" cm="1">
        <f t="array" ref="F143">_xlfn.IFS('1. Questionnaire d''entretien '!B143=1,1,'1. Questionnaire d''entretien '!B143=2,0.75,'1. Questionnaire d''entretien '!B143=3,0.5)</f>
        <v>1</v>
      </c>
      <c r="G143" s="273" t="str">
        <f t="shared" si="9"/>
        <v>N/A</v>
      </c>
    </row>
    <row r="144" spans="2:7" x14ac:dyDescent="0.3">
      <c r="B144" s="253">
        <f t="shared" si="10"/>
        <v>141</v>
      </c>
      <c r="C144" s="271" t="str">
        <f>IF('1. Questionnaire d''entretien '!R144="","N/A",'1. Questionnaire d''entretien '!R144)</f>
        <v>N/A</v>
      </c>
      <c r="D144" s="271" t="str">
        <f>IF('1. Questionnaire d''entretien '!T144="","N/A",'1. Questionnaire d''entretien '!T144)</f>
        <v>N/A</v>
      </c>
      <c r="E144" s="271" t="str">
        <f t="shared" si="8"/>
        <v>N/A</v>
      </c>
      <c r="F144" s="271" cm="1">
        <f t="array" ref="F144">_xlfn.IFS('1. Questionnaire d''entretien '!B144=1,1,'1. Questionnaire d''entretien '!B144=2,0.75,'1. Questionnaire d''entretien '!B144=3,0.5)</f>
        <v>1</v>
      </c>
      <c r="G144" s="273" t="str">
        <f t="shared" si="9"/>
        <v>N/A</v>
      </c>
    </row>
    <row r="145" spans="2:7" x14ac:dyDescent="0.3">
      <c r="B145" s="253">
        <f t="shared" si="10"/>
        <v>142</v>
      </c>
      <c r="C145" s="271" t="str">
        <f>IF('1. Questionnaire d''entretien '!R145="","N/A",'1. Questionnaire d''entretien '!R145)</f>
        <v>N/A</v>
      </c>
      <c r="D145" s="271" t="str">
        <f>IF('1. Questionnaire d''entretien '!T145="","N/A",'1. Questionnaire d''entretien '!T145)</f>
        <v>N/A</v>
      </c>
      <c r="E145" s="271" t="str">
        <f t="shared" si="8"/>
        <v>N/A</v>
      </c>
      <c r="F145" s="271" cm="1">
        <f t="array" ref="F145">_xlfn.IFS('1. Questionnaire d''entretien '!B145=1,1,'1. Questionnaire d''entretien '!B145=2,0.75,'1. Questionnaire d''entretien '!B145=3,0.5)</f>
        <v>1</v>
      </c>
      <c r="G145" s="273" t="str">
        <f t="shared" si="9"/>
        <v>N/A</v>
      </c>
    </row>
    <row r="146" spans="2:7" x14ac:dyDescent="0.3">
      <c r="B146" s="253">
        <f t="shared" si="10"/>
        <v>143</v>
      </c>
      <c r="C146" s="271" t="str">
        <f>IF('1. Questionnaire d''entretien '!R146="","N/A",'1. Questionnaire d''entretien '!R146)</f>
        <v>N/A</v>
      </c>
      <c r="D146" s="271" t="str">
        <f>IF('1. Questionnaire d''entretien '!T146="","N/A",'1. Questionnaire d''entretien '!T146)</f>
        <v>N/A</v>
      </c>
      <c r="E146" s="271" t="str">
        <f t="shared" si="8"/>
        <v>N/A</v>
      </c>
      <c r="F146" s="271" cm="1">
        <f t="array" ref="F146">_xlfn.IFS('1. Questionnaire d''entretien '!B146=1,1,'1. Questionnaire d''entretien '!B146=2,0.75,'1. Questionnaire d''entretien '!B146=3,0.5)</f>
        <v>0.75</v>
      </c>
      <c r="G146" s="273" t="str">
        <f t="shared" si="9"/>
        <v>N/A</v>
      </c>
    </row>
    <row r="147" spans="2:7" x14ac:dyDescent="0.3">
      <c r="B147" s="253">
        <f t="shared" si="10"/>
        <v>144</v>
      </c>
      <c r="C147" s="271" t="str">
        <f>IF('1. Questionnaire d''entretien '!R147="","N/A",'1. Questionnaire d''entretien '!R147)</f>
        <v>N/A</v>
      </c>
      <c r="D147" s="271" t="str">
        <f>IF('1. Questionnaire d''entretien '!T147="","N/A",'1. Questionnaire d''entretien '!T147)</f>
        <v>N/A</v>
      </c>
      <c r="E147" s="271" t="str">
        <f t="shared" si="8"/>
        <v>N/A</v>
      </c>
      <c r="F147" s="271" cm="1">
        <f t="array" ref="F147">_xlfn.IFS('1. Questionnaire d''entretien '!B147=1,1,'1. Questionnaire d''entretien '!B147=2,0.75,'1. Questionnaire d''entretien '!B147=3,0.5)</f>
        <v>0.75</v>
      </c>
      <c r="G147" s="273" t="str">
        <f t="shared" si="9"/>
        <v>N/A</v>
      </c>
    </row>
    <row r="148" spans="2:7" x14ac:dyDescent="0.3">
      <c r="B148" s="253">
        <f t="shared" si="10"/>
        <v>145</v>
      </c>
      <c r="C148" s="271" t="str">
        <f>IF('1. Questionnaire d''entretien '!R148="","N/A",'1. Questionnaire d''entretien '!R148)</f>
        <v>N/A</v>
      </c>
      <c r="D148" s="271" t="str">
        <f>IF('1. Questionnaire d''entretien '!T148="","N/A",'1. Questionnaire d''entretien '!T148)</f>
        <v>N/A</v>
      </c>
      <c r="E148" s="271" t="str">
        <f t="shared" si="8"/>
        <v>N/A</v>
      </c>
      <c r="F148" s="271" cm="1">
        <f t="array" ref="F148">_xlfn.IFS('1. Questionnaire d''entretien '!B148=1,1,'1. Questionnaire d''entretien '!B148=2,0.75,'1. Questionnaire d''entretien '!B148=3,0.5)</f>
        <v>0.5</v>
      </c>
      <c r="G148" s="273" t="str">
        <f t="shared" si="9"/>
        <v>N/A</v>
      </c>
    </row>
    <row r="149" spans="2:7" x14ac:dyDescent="0.3">
      <c r="B149" s="253">
        <f t="shared" si="10"/>
        <v>146</v>
      </c>
      <c r="C149" s="271" t="str">
        <f>IF('1. Questionnaire d''entretien '!R149="","N/A",'1. Questionnaire d''entretien '!R149)</f>
        <v>N/A</v>
      </c>
      <c r="D149" s="271" t="str">
        <f>IF('1. Questionnaire d''entretien '!T149="","N/A",'1. Questionnaire d''entretien '!T149)</f>
        <v>N/A</v>
      </c>
      <c r="E149" s="271" t="str">
        <f t="shared" si="8"/>
        <v>N/A</v>
      </c>
      <c r="F149" s="271" cm="1">
        <f t="array" ref="F149">_xlfn.IFS('1. Questionnaire d''entretien '!B149=1,1,'1. Questionnaire d''entretien '!B149=2,0.75,'1. Questionnaire d''entretien '!B149=3,0.5)</f>
        <v>0.5</v>
      </c>
      <c r="G149" s="273" t="str">
        <f t="shared" si="9"/>
        <v>N/A</v>
      </c>
    </row>
    <row r="150" spans="2:7" x14ac:dyDescent="0.3">
      <c r="B150" s="253">
        <f t="shared" si="10"/>
        <v>147</v>
      </c>
      <c r="C150" s="271" t="str">
        <f>IF('1. Questionnaire d''entretien '!R150="","N/A",'1. Questionnaire d''entretien '!R150)</f>
        <v>N/A</v>
      </c>
      <c r="D150" s="271" t="str">
        <f>IF('1. Questionnaire d''entretien '!T150="","N/A",'1. Questionnaire d''entretien '!T150)</f>
        <v>N/A</v>
      </c>
      <c r="E150" s="271" t="str">
        <f t="shared" si="8"/>
        <v>N/A</v>
      </c>
      <c r="F150" s="271" cm="1">
        <f t="array" ref="F150">_xlfn.IFS('1. Questionnaire d''entretien '!B150=1,1,'1. Questionnaire d''entretien '!B150=2,0.75,'1. Questionnaire d''entretien '!B150=3,0.5)</f>
        <v>0.75</v>
      </c>
      <c r="G150" s="273" t="str">
        <f t="shared" si="9"/>
        <v>N/A</v>
      </c>
    </row>
    <row r="151" spans="2:7" x14ac:dyDescent="0.3">
      <c r="B151" s="253">
        <f t="shared" si="10"/>
        <v>148</v>
      </c>
      <c r="C151" s="271" t="str">
        <f>IF('1. Questionnaire d''entretien '!R151="","N/A",'1. Questionnaire d''entretien '!R151)</f>
        <v>N/A</v>
      </c>
      <c r="D151" s="271" t="str">
        <f>IF('1. Questionnaire d''entretien '!T151="","N/A",'1. Questionnaire d''entretien '!T151)</f>
        <v>N/A</v>
      </c>
      <c r="E151" s="271" t="str">
        <f t="shared" si="8"/>
        <v>N/A</v>
      </c>
      <c r="F151" s="271" cm="1">
        <f t="array" ref="F151">_xlfn.IFS('1. Questionnaire d''entretien '!B151=1,1,'1. Questionnaire d''entretien '!B151=2,0.75,'1. Questionnaire d''entretien '!B151=3,0.5)</f>
        <v>0.75</v>
      </c>
      <c r="G151" s="273" t="str">
        <f t="shared" si="9"/>
        <v>N/A</v>
      </c>
    </row>
    <row r="152" spans="2:7" x14ac:dyDescent="0.3">
      <c r="B152" s="253">
        <f t="shared" si="10"/>
        <v>149</v>
      </c>
      <c r="C152" s="271" t="str">
        <f>IF('1. Questionnaire d''entretien '!R152="","N/A",'1. Questionnaire d''entretien '!R152)</f>
        <v>N/A</v>
      </c>
      <c r="D152" s="271" t="str">
        <f>IF('1. Questionnaire d''entretien '!T152="","N/A",'1. Questionnaire d''entretien '!T152)</f>
        <v>N/A</v>
      </c>
      <c r="E152" s="271" t="str">
        <f t="shared" si="8"/>
        <v>N/A</v>
      </c>
      <c r="F152" s="271" cm="1">
        <f t="array" ref="F152">_xlfn.IFS('1. Questionnaire d''entretien '!B152=1,1,'1. Questionnaire d''entretien '!B152=2,0.75,'1. Questionnaire d''entretien '!B152=3,0.5)</f>
        <v>1</v>
      </c>
      <c r="G152" s="273" t="str">
        <f t="shared" si="9"/>
        <v>N/A</v>
      </c>
    </row>
    <row r="153" spans="2:7" x14ac:dyDescent="0.3">
      <c r="B153" s="253">
        <f t="shared" si="10"/>
        <v>150</v>
      </c>
      <c r="C153" s="271" t="str">
        <f>IF('1. Questionnaire d''entretien '!R153="","N/A",'1. Questionnaire d''entretien '!R153)</f>
        <v>N/A</v>
      </c>
      <c r="D153" s="271" t="str">
        <f>IF('1. Questionnaire d''entretien '!T153="","N/A",'1. Questionnaire d''entretien '!T153)</f>
        <v>N/A</v>
      </c>
      <c r="E153" s="271" t="str">
        <f t="shared" si="8"/>
        <v>N/A</v>
      </c>
      <c r="F153" s="271" cm="1">
        <f t="array" ref="F153">_xlfn.IFS('1. Questionnaire d''entretien '!B153=1,1,'1. Questionnaire d''entretien '!B153=2,0.75,'1. Questionnaire d''entretien '!B153=3,0.5)</f>
        <v>1</v>
      </c>
      <c r="G153" s="273" t="str">
        <f t="shared" si="9"/>
        <v>N/A</v>
      </c>
    </row>
    <row r="154" spans="2:7" x14ac:dyDescent="0.3">
      <c r="B154" s="253">
        <f t="shared" si="10"/>
        <v>151</v>
      </c>
      <c r="C154" s="271" t="str">
        <f>IF('1. Questionnaire d''entretien '!R154="","N/A",'1. Questionnaire d''entretien '!R154)</f>
        <v>N/A</v>
      </c>
      <c r="D154" s="271" t="str">
        <f>IF('1. Questionnaire d''entretien '!T154="","N/A",'1. Questionnaire d''entretien '!T154)</f>
        <v>N/A</v>
      </c>
      <c r="E154" s="271" t="str">
        <f t="shared" si="8"/>
        <v>N/A</v>
      </c>
      <c r="F154" s="271" cm="1">
        <f t="array" ref="F154">_xlfn.IFS('1. Questionnaire d''entretien '!B154=1,1,'1. Questionnaire d''entretien '!B154=2,0.75,'1. Questionnaire d''entretien '!B154=3,0.5)</f>
        <v>1</v>
      </c>
      <c r="G154" s="273" t="str">
        <f t="shared" si="9"/>
        <v>N/A</v>
      </c>
    </row>
    <row r="155" spans="2:7" x14ac:dyDescent="0.3">
      <c r="B155" s="253">
        <f t="shared" si="10"/>
        <v>152</v>
      </c>
      <c r="C155" s="271" t="str">
        <f>IF('1. Questionnaire d''entretien '!R155="","N/A",'1. Questionnaire d''entretien '!R155)</f>
        <v>N/A</v>
      </c>
      <c r="D155" s="271" t="str">
        <f>IF('1. Questionnaire d''entretien '!T155="","N/A",'1. Questionnaire d''entretien '!T155)</f>
        <v>N/A</v>
      </c>
      <c r="E155" s="271" t="str">
        <f t="shared" si="8"/>
        <v>N/A</v>
      </c>
      <c r="F155" s="271" cm="1">
        <f t="array" ref="F155">_xlfn.IFS('1. Questionnaire d''entretien '!B155=1,1,'1. Questionnaire d''entretien '!B155=2,0.75,'1. Questionnaire d''entretien '!B155=3,0.5)</f>
        <v>1</v>
      </c>
      <c r="G155" s="273" t="str">
        <f t="shared" si="9"/>
        <v>N/A</v>
      </c>
    </row>
    <row r="156" spans="2:7" x14ac:dyDescent="0.3">
      <c r="B156" s="253">
        <f t="shared" si="10"/>
        <v>153</v>
      </c>
      <c r="C156" s="271" t="str">
        <f>IF('1. Questionnaire d''entretien '!R156="","N/A",'1. Questionnaire d''entretien '!R156)</f>
        <v>N/A</v>
      </c>
      <c r="D156" s="271" t="str">
        <f>IF('1. Questionnaire d''entretien '!T156="","N/A",'1. Questionnaire d''entretien '!T156)</f>
        <v>N/A</v>
      </c>
      <c r="E156" s="271" t="str">
        <f t="shared" si="8"/>
        <v>N/A</v>
      </c>
      <c r="F156" s="271" cm="1">
        <f t="array" ref="F156">_xlfn.IFS('1. Questionnaire d''entretien '!B156=1,1,'1. Questionnaire d''entretien '!B156=2,0.75,'1. Questionnaire d''entretien '!B156=3,0.5)</f>
        <v>0.75</v>
      </c>
      <c r="G156" s="273" t="str">
        <f t="shared" si="9"/>
        <v>N/A</v>
      </c>
    </row>
    <row r="157" spans="2:7" x14ac:dyDescent="0.3">
      <c r="B157" s="253">
        <f t="shared" si="10"/>
        <v>154</v>
      </c>
      <c r="C157" s="271" t="str">
        <f>IF('1. Questionnaire d''entretien '!R157="","N/A",'1. Questionnaire d''entretien '!R157)</f>
        <v>N/A</v>
      </c>
      <c r="D157" s="271" t="str">
        <f>IF('1. Questionnaire d''entretien '!T157="","N/A",'1. Questionnaire d''entretien '!T157)</f>
        <v>N/A</v>
      </c>
      <c r="E157" s="271" t="str">
        <f t="shared" si="8"/>
        <v>N/A</v>
      </c>
      <c r="F157" s="271" cm="1">
        <f t="array" ref="F157">_xlfn.IFS('1. Questionnaire d''entretien '!B157=1,1,'1. Questionnaire d''entretien '!B157=2,0.75,'1. Questionnaire d''entretien '!B157=3,0.5)</f>
        <v>0.75</v>
      </c>
      <c r="G157" s="273" t="str">
        <f t="shared" si="9"/>
        <v>N/A</v>
      </c>
    </row>
    <row r="158" spans="2:7" x14ac:dyDescent="0.3">
      <c r="B158" s="253">
        <f t="shared" si="10"/>
        <v>155</v>
      </c>
      <c r="C158" s="271" t="str">
        <f>IF('1. Questionnaire d''entretien '!R158="","N/A",'1. Questionnaire d''entretien '!R158)</f>
        <v>N/A</v>
      </c>
      <c r="D158" s="271" t="str">
        <f>IF('1. Questionnaire d''entretien '!T158="","N/A",'1. Questionnaire d''entretien '!T158)</f>
        <v>N/A</v>
      </c>
      <c r="E158" s="271" t="str">
        <f t="shared" si="8"/>
        <v>N/A</v>
      </c>
      <c r="F158" s="271" cm="1">
        <f t="array" ref="F158">_xlfn.IFS('1. Questionnaire d''entretien '!B158=1,1,'1. Questionnaire d''entretien '!B158=2,0.75,'1. Questionnaire d''entretien '!B158=3,0.5)</f>
        <v>0.75</v>
      </c>
      <c r="G158" s="273" t="str">
        <f t="shared" si="9"/>
        <v>N/A</v>
      </c>
    </row>
    <row r="159" spans="2:7" x14ac:dyDescent="0.3">
      <c r="B159" s="253">
        <f t="shared" si="10"/>
        <v>156</v>
      </c>
      <c r="C159" s="271" t="str">
        <f>IF('1. Questionnaire d''entretien '!R159="","N/A",'1. Questionnaire d''entretien '!R159)</f>
        <v>N/A</v>
      </c>
      <c r="D159" s="271" t="str">
        <f>IF('1. Questionnaire d''entretien '!T159="","N/A",'1. Questionnaire d''entretien '!T159)</f>
        <v>N/A</v>
      </c>
      <c r="E159" s="271" t="str">
        <f t="shared" si="8"/>
        <v>N/A</v>
      </c>
      <c r="F159" s="271" cm="1">
        <f t="array" ref="F159">_xlfn.IFS('1. Questionnaire d''entretien '!B159=1,1,'1. Questionnaire d''entretien '!B159=2,0.75,'1. Questionnaire d''entretien '!B159=3,0.5)</f>
        <v>0.5</v>
      </c>
      <c r="G159" s="273" t="str">
        <f t="shared" si="9"/>
        <v>N/A</v>
      </c>
    </row>
    <row r="160" spans="2:7" x14ac:dyDescent="0.3">
      <c r="B160" s="253">
        <f t="shared" si="10"/>
        <v>157</v>
      </c>
      <c r="C160" s="271" t="str">
        <f>IF('1. Questionnaire d''entretien '!R160="","N/A",'1. Questionnaire d''entretien '!R160)</f>
        <v>N/A</v>
      </c>
      <c r="D160" s="271" t="str">
        <f>IF('1. Questionnaire d''entretien '!T160="","N/A",'1. Questionnaire d''entretien '!T160)</f>
        <v>N/A</v>
      </c>
      <c r="E160" s="271" t="str">
        <f t="shared" si="8"/>
        <v>N/A</v>
      </c>
      <c r="F160" s="271" cm="1">
        <f t="array" ref="F160">_xlfn.IFS('1. Questionnaire d''entretien '!B160=1,1,'1. Questionnaire d''entretien '!B160=2,0.75,'1. Questionnaire d''entretien '!B160=3,0.5)</f>
        <v>1</v>
      </c>
      <c r="G160" s="273" t="str">
        <f t="shared" si="9"/>
        <v>N/A</v>
      </c>
    </row>
    <row r="161" spans="2:7" x14ac:dyDescent="0.3">
      <c r="B161" s="253">
        <f t="shared" si="10"/>
        <v>158</v>
      </c>
      <c r="C161" s="271" t="str">
        <f>IF('1. Questionnaire d''entretien '!R161="","N/A",'1. Questionnaire d''entretien '!R161)</f>
        <v>N/A</v>
      </c>
      <c r="D161" s="271" t="str">
        <f>IF('1. Questionnaire d''entretien '!T161="","N/A",'1. Questionnaire d''entretien '!T161)</f>
        <v>N/A</v>
      </c>
      <c r="E161" s="271" t="str">
        <f t="shared" si="8"/>
        <v>N/A</v>
      </c>
      <c r="F161" s="271" cm="1">
        <f t="array" ref="F161">_xlfn.IFS('1. Questionnaire d''entretien '!B161=1,1,'1. Questionnaire d''entretien '!B161=2,0.75,'1. Questionnaire d''entretien '!B161=3,0.5)</f>
        <v>0.75</v>
      </c>
      <c r="G161" s="273" t="str">
        <f t="shared" si="9"/>
        <v>N/A</v>
      </c>
    </row>
    <row r="162" spans="2:7" x14ac:dyDescent="0.3">
      <c r="B162" s="253">
        <f t="shared" si="10"/>
        <v>159</v>
      </c>
      <c r="C162" s="271" t="str">
        <f>IF('1. Questionnaire d''entretien '!R162="","N/A",'1. Questionnaire d''entretien '!R162)</f>
        <v>N/A</v>
      </c>
      <c r="D162" s="271" t="str">
        <f>IF('1. Questionnaire d''entretien '!T162="","N/A",'1. Questionnaire d''entretien '!T162)</f>
        <v>N/A</v>
      </c>
      <c r="E162" s="271" t="str">
        <f t="shared" si="8"/>
        <v>N/A</v>
      </c>
      <c r="F162" s="271" cm="1">
        <f t="array" ref="F162">_xlfn.IFS('1. Questionnaire d''entretien '!B162=1,1,'1. Questionnaire d''entretien '!B162=2,0.75,'1. Questionnaire d''entretien '!B162=3,0.5)</f>
        <v>0.75</v>
      </c>
      <c r="G162" s="273" t="str">
        <f t="shared" si="9"/>
        <v>N/A</v>
      </c>
    </row>
    <row r="163" spans="2:7" x14ac:dyDescent="0.3">
      <c r="B163" s="253">
        <f t="shared" si="10"/>
        <v>160</v>
      </c>
      <c r="C163" s="271" t="str">
        <f>IF('1. Questionnaire d''entretien '!R163="","N/A",'1. Questionnaire d''entretien '!R163)</f>
        <v>N/A</v>
      </c>
      <c r="D163" s="271" t="str">
        <f>IF('1. Questionnaire d''entretien '!T163="","N/A",'1. Questionnaire d''entretien '!T163)</f>
        <v>N/A</v>
      </c>
      <c r="E163" s="271" t="str">
        <f t="shared" si="8"/>
        <v>N/A</v>
      </c>
      <c r="F163" s="271" cm="1">
        <f t="array" ref="F163">_xlfn.IFS('1. Questionnaire d''entretien '!B163=1,1,'1. Questionnaire d''entretien '!B163=2,0.75,'1. Questionnaire d''entretien '!B163=3,0.5)</f>
        <v>0.75</v>
      </c>
      <c r="G163" s="273" t="str">
        <f t="shared" si="9"/>
        <v>N/A</v>
      </c>
    </row>
    <row r="164" spans="2:7" x14ac:dyDescent="0.3">
      <c r="B164" s="253">
        <f t="shared" si="10"/>
        <v>161</v>
      </c>
      <c r="C164" s="271" t="str">
        <f>IF('1. Questionnaire d''entretien '!R164="","N/A",'1. Questionnaire d''entretien '!R164)</f>
        <v>N/A</v>
      </c>
      <c r="D164" s="271" t="str">
        <f>IF('1. Questionnaire d''entretien '!T164="","N/A",'1. Questionnaire d''entretien '!T164)</f>
        <v>N/A</v>
      </c>
      <c r="E164" s="271" t="str">
        <f t="shared" si="8"/>
        <v>N/A</v>
      </c>
      <c r="F164" s="271" cm="1">
        <f t="array" ref="F164">_xlfn.IFS('1. Questionnaire d''entretien '!B164=1,1,'1. Questionnaire d''entretien '!B164=2,0.75,'1. Questionnaire d''entretien '!B164=3,0.5)</f>
        <v>1</v>
      </c>
      <c r="G164" s="273" t="str">
        <f t="shared" si="9"/>
        <v>N/A</v>
      </c>
    </row>
    <row r="165" spans="2:7" x14ac:dyDescent="0.3">
      <c r="B165" s="253">
        <f t="shared" si="10"/>
        <v>162</v>
      </c>
      <c r="C165" s="271" t="str">
        <f>IF('1. Questionnaire d''entretien '!R165="","N/A",'1. Questionnaire d''entretien '!R165)</f>
        <v>N/A</v>
      </c>
      <c r="D165" s="271" t="str">
        <f>IF('1. Questionnaire d''entretien '!T165="","N/A",'1. Questionnaire d''entretien '!T165)</f>
        <v>N/A</v>
      </c>
      <c r="E165" s="271" t="str">
        <f t="shared" si="8"/>
        <v>N/A</v>
      </c>
      <c r="F165" s="271" cm="1">
        <f t="array" ref="F165">_xlfn.IFS('1. Questionnaire d''entretien '!B165=1,1,'1. Questionnaire d''entretien '!B165=2,0.75,'1. Questionnaire d''entretien '!B165=3,0.5)</f>
        <v>1</v>
      </c>
      <c r="G165" s="273" t="str">
        <f t="shared" si="9"/>
        <v>N/A</v>
      </c>
    </row>
    <row r="166" spans="2:7" x14ac:dyDescent="0.3">
      <c r="B166" s="253">
        <f t="shared" si="10"/>
        <v>163</v>
      </c>
      <c r="C166" s="271" t="str">
        <f>IF('1. Questionnaire d''entretien '!R166="","N/A",'1. Questionnaire d''entretien '!R166)</f>
        <v>N/A</v>
      </c>
      <c r="D166" s="271" t="str">
        <f>IF('1. Questionnaire d''entretien '!T166="","N/A",'1. Questionnaire d''entretien '!T166)</f>
        <v>N/A</v>
      </c>
      <c r="E166" s="271" t="str">
        <f t="shared" si="8"/>
        <v>N/A</v>
      </c>
      <c r="F166" s="271" cm="1">
        <f t="array" ref="F166">_xlfn.IFS('1. Questionnaire d''entretien '!B166=1,1,'1. Questionnaire d''entretien '!B166=2,0.75,'1. Questionnaire d''entretien '!B166=3,0.5)</f>
        <v>1</v>
      </c>
      <c r="G166" s="273" t="str">
        <f t="shared" si="9"/>
        <v>N/A</v>
      </c>
    </row>
    <row r="167" spans="2:7" x14ac:dyDescent="0.3">
      <c r="B167" s="253">
        <f t="shared" si="10"/>
        <v>164</v>
      </c>
      <c r="C167" s="271" t="str">
        <f>IF('1. Questionnaire d''entretien '!R167="","N/A",'1. Questionnaire d''entretien '!R167)</f>
        <v>N/A</v>
      </c>
      <c r="D167" s="271" t="str">
        <f>IF('1. Questionnaire d''entretien '!T167="","N/A",'1. Questionnaire d''entretien '!T167)</f>
        <v>N/A</v>
      </c>
      <c r="E167" s="271" t="str">
        <f t="shared" si="8"/>
        <v>N/A</v>
      </c>
      <c r="F167" s="271" cm="1">
        <f t="array" ref="F167">_xlfn.IFS('1. Questionnaire d''entretien '!B167=1,1,'1. Questionnaire d''entretien '!B167=2,0.75,'1. Questionnaire d''entretien '!B167=3,0.5)</f>
        <v>1</v>
      </c>
      <c r="G167" s="273" t="str">
        <f t="shared" si="9"/>
        <v>N/A</v>
      </c>
    </row>
    <row r="168" spans="2:7" x14ac:dyDescent="0.3">
      <c r="B168" s="253">
        <f t="shared" si="10"/>
        <v>165</v>
      </c>
      <c r="C168" s="271" t="str">
        <f>IF('1. Questionnaire d''entretien '!R168="","N/A",'1. Questionnaire d''entretien '!R168)</f>
        <v>N/A</v>
      </c>
      <c r="D168" s="271" t="str">
        <f>IF('1. Questionnaire d''entretien '!T168="","N/A",'1. Questionnaire d''entretien '!T168)</f>
        <v>N/A</v>
      </c>
      <c r="E168" s="271" t="str">
        <f t="shared" si="8"/>
        <v>N/A</v>
      </c>
      <c r="F168" s="271" cm="1">
        <f t="array" ref="F168">_xlfn.IFS('1. Questionnaire d''entretien '!B168=1,1,'1. Questionnaire d''entretien '!B168=2,0.75,'1. Questionnaire d''entretien '!B168=3,0.5)</f>
        <v>1</v>
      </c>
      <c r="G168" s="273" t="str">
        <f t="shared" si="9"/>
        <v>N/A</v>
      </c>
    </row>
    <row r="169" spans="2:7" x14ac:dyDescent="0.3">
      <c r="B169" s="253">
        <f t="shared" si="10"/>
        <v>166</v>
      </c>
      <c r="C169" s="271" t="str">
        <f>IF('1. Questionnaire d''entretien '!R169="","N/A",'1. Questionnaire d''entretien '!R169)</f>
        <v>N/A</v>
      </c>
      <c r="D169" s="271" t="str">
        <f>IF('1. Questionnaire d''entretien '!T169="","N/A",'1. Questionnaire d''entretien '!T169)</f>
        <v>N/A</v>
      </c>
      <c r="E169" s="271" t="str">
        <f t="shared" si="8"/>
        <v>N/A</v>
      </c>
      <c r="F169" s="271" cm="1">
        <f t="array" ref="F169">_xlfn.IFS('1. Questionnaire d''entretien '!B169=1,1,'1. Questionnaire d''entretien '!B169=2,0.75,'1. Questionnaire d''entretien '!B169=3,0.5)</f>
        <v>0.75</v>
      </c>
      <c r="G169" s="273" t="str">
        <f t="shared" si="9"/>
        <v>N/A</v>
      </c>
    </row>
    <row r="170" spans="2:7" x14ac:dyDescent="0.3">
      <c r="B170" s="253">
        <f t="shared" si="10"/>
        <v>167</v>
      </c>
      <c r="C170" s="271" t="str">
        <f>IF('1. Questionnaire d''entretien '!R170="","N/A",'1. Questionnaire d''entretien '!R170)</f>
        <v>N/A</v>
      </c>
      <c r="D170" s="271" t="str">
        <f>IF('1. Questionnaire d''entretien '!T170="","N/A",'1. Questionnaire d''entretien '!T170)</f>
        <v>N/A</v>
      </c>
      <c r="E170" s="271" t="str">
        <f t="shared" si="8"/>
        <v>N/A</v>
      </c>
      <c r="F170" s="271" cm="1">
        <f t="array" ref="F170">_xlfn.IFS('1. Questionnaire d''entretien '!B170=1,1,'1. Questionnaire d''entretien '!B170=2,0.75,'1. Questionnaire d''entretien '!B170=3,0.5)</f>
        <v>0.75</v>
      </c>
      <c r="G170" s="273" t="str">
        <f t="shared" si="9"/>
        <v>N/A</v>
      </c>
    </row>
    <row r="171" spans="2:7" x14ac:dyDescent="0.3">
      <c r="B171" s="253">
        <f t="shared" si="10"/>
        <v>168</v>
      </c>
      <c r="C171" s="271" t="str">
        <f>IF('1. Questionnaire d''entretien '!R171="","N/A",'1. Questionnaire d''entretien '!R171)</f>
        <v>N/A</v>
      </c>
      <c r="D171" s="271" t="str">
        <f>IF('1. Questionnaire d''entretien '!T171="","N/A",'1. Questionnaire d''entretien '!T171)</f>
        <v>N/A</v>
      </c>
      <c r="E171" s="271" t="str">
        <f t="shared" si="8"/>
        <v>N/A</v>
      </c>
      <c r="F171" s="271" cm="1">
        <f t="array" ref="F171">_xlfn.IFS('1. Questionnaire d''entretien '!B171=1,1,'1. Questionnaire d''entretien '!B171=2,0.75,'1. Questionnaire d''entretien '!B171=3,0.5)</f>
        <v>1</v>
      </c>
      <c r="G171" s="273" t="str">
        <f t="shared" si="9"/>
        <v>N/A</v>
      </c>
    </row>
    <row r="172" spans="2:7" x14ac:dyDescent="0.3">
      <c r="B172" s="253">
        <f t="shared" si="10"/>
        <v>169</v>
      </c>
      <c r="C172" s="271" t="str">
        <f>IF('1. Questionnaire d''entretien '!R172="","N/A",'1. Questionnaire d''entretien '!R172)</f>
        <v>N/A</v>
      </c>
      <c r="D172" s="271" t="str">
        <f>IF('1. Questionnaire d''entretien '!T172="","N/A",'1. Questionnaire d''entretien '!T172)</f>
        <v>N/A</v>
      </c>
      <c r="E172" s="271" t="str">
        <f t="shared" si="8"/>
        <v>N/A</v>
      </c>
      <c r="F172" s="271" cm="1">
        <f t="array" ref="F172">_xlfn.IFS('1. Questionnaire d''entretien '!B172=1,1,'1. Questionnaire d''entretien '!B172=2,0.75,'1. Questionnaire d''entretien '!B172=3,0.5)</f>
        <v>1</v>
      </c>
      <c r="G172" s="273" t="str">
        <f t="shared" si="9"/>
        <v>N/A</v>
      </c>
    </row>
    <row r="173" spans="2:7" x14ac:dyDescent="0.3">
      <c r="B173" s="253">
        <f t="shared" si="10"/>
        <v>170</v>
      </c>
      <c r="C173" s="271" t="str">
        <f>IF('1. Questionnaire d''entretien '!R173="","N/A",'1. Questionnaire d''entretien '!R173)</f>
        <v>N/A</v>
      </c>
      <c r="D173" s="271" t="str">
        <f>IF('1. Questionnaire d''entretien '!T173="","N/A",'1. Questionnaire d''entretien '!T173)</f>
        <v>N/A</v>
      </c>
      <c r="E173" s="271" t="str">
        <f t="shared" si="8"/>
        <v>N/A</v>
      </c>
      <c r="F173" s="271" cm="1">
        <f t="array" ref="F173">_xlfn.IFS('1. Questionnaire d''entretien '!B173=1,1,'1. Questionnaire d''entretien '!B173=2,0.75,'1. Questionnaire d''entretien '!B173=3,0.5)</f>
        <v>1</v>
      </c>
      <c r="G173" s="273" t="str">
        <f t="shared" si="9"/>
        <v>N/A</v>
      </c>
    </row>
    <row r="174" spans="2:7" x14ac:dyDescent="0.3">
      <c r="B174" s="253">
        <f t="shared" si="10"/>
        <v>171</v>
      </c>
      <c r="C174" s="271" t="str">
        <f>IF('1. Questionnaire d''entretien '!R174="","N/A",'1. Questionnaire d''entretien '!R174)</f>
        <v>N/A</v>
      </c>
      <c r="D174" s="271" t="str">
        <f>IF('1. Questionnaire d''entretien '!T174="","N/A",'1. Questionnaire d''entretien '!T174)</f>
        <v>N/A</v>
      </c>
      <c r="E174" s="271" t="str">
        <f t="shared" si="8"/>
        <v>N/A</v>
      </c>
      <c r="F174" s="271" cm="1">
        <f t="array" ref="F174">_xlfn.IFS('1. Questionnaire d''entretien '!B174=1,1,'1. Questionnaire d''entretien '!B174=2,0.75,'1. Questionnaire d''entretien '!B174=3,0.5)</f>
        <v>0.75</v>
      </c>
      <c r="G174" s="273" t="str">
        <f t="shared" si="9"/>
        <v>N/A</v>
      </c>
    </row>
    <row r="175" spans="2:7" x14ac:dyDescent="0.3">
      <c r="B175" s="253">
        <f t="shared" si="10"/>
        <v>172</v>
      </c>
      <c r="C175" s="271" t="str">
        <f>IF('1. Questionnaire d''entretien '!R175="","N/A",'1. Questionnaire d''entretien '!R175)</f>
        <v>N/A</v>
      </c>
      <c r="D175" s="271" t="str">
        <f>IF('1. Questionnaire d''entretien '!T175="","N/A",'1. Questionnaire d''entretien '!T175)</f>
        <v>N/A</v>
      </c>
      <c r="E175" s="271" t="str">
        <f t="shared" si="8"/>
        <v>N/A</v>
      </c>
      <c r="F175" s="271" cm="1">
        <f t="array" ref="F175">_xlfn.IFS('1. Questionnaire d''entretien '!B175=1,1,'1. Questionnaire d''entretien '!B175=2,0.75,'1. Questionnaire d''entretien '!B175=3,0.5)</f>
        <v>0.75</v>
      </c>
      <c r="G175" s="273" t="str">
        <f t="shared" si="9"/>
        <v>N/A</v>
      </c>
    </row>
    <row r="176" spans="2:7" x14ac:dyDescent="0.3">
      <c r="B176" s="253">
        <f t="shared" si="10"/>
        <v>173</v>
      </c>
      <c r="C176" s="271" t="str">
        <f>IF('1. Questionnaire d''entretien '!R176="","N/A",'1. Questionnaire d''entretien '!R176)</f>
        <v>N/A</v>
      </c>
      <c r="D176" s="271" t="str">
        <f>IF('1. Questionnaire d''entretien '!T176="","N/A",'1. Questionnaire d''entretien '!T176)</f>
        <v>N/A</v>
      </c>
      <c r="E176" s="271" t="str">
        <f t="shared" si="8"/>
        <v>N/A</v>
      </c>
      <c r="F176" s="271" cm="1">
        <f t="array" ref="F176">_xlfn.IFS('1. Questionnaire d''entretien '!B176=1,1,'1. Questionnaire d''entretien '!B176=2,0.75,'1. Questionnaire d''entretien '!B176=3,0.5)</f>
        <v>0.75</v>
      </c>
      <c r="G176" s="273" t="str">
        <f t="shared" si="9"/>
        <v>N/A</v>
      </c>
    </row>
    <row r="177" spans="2:7" x14ac:dyDescent="0.3">
      <c r="B177" s="253">
        <f t="shared" si="10"/>
        <v>174</v>
      </c>
      <c r="C177" s="271" t="str">
        <f>IF('1. Questionnaire d''entretien '!R177="","N/A",'1. Questionnaire d''entretien '!R177)</f>
        <v>N/A</v>
      </c>
      <c r="D177" s="271" t="str">
        <f>IF('1. Questionnaire d''entretien '!T177="","N/A",'1. Questionnaire d''entretien '!T177)</f>
        <v>N/A</v>
      </c>
      <c r="E177" s="271" t="str">
        <f t="shared" si="8"/>
        <v>N/A</v>
      </c>
      <c r="F177" s="271" cm="1">
        <f t="array" ref="F177">_xlfn.IFS('1. Questionnaire d''entretien '!B177=1,1,'1. Questionnaire d''entretien '!B177=2,0.75,'1. Questionnaire d''entretien '!B177=3,0.5)</f>
        <v>1</v>
      </c>
      <c r="G177" s="273" t="str">
        <f t="shared" si="9"/>
        <v>N/A</v>
      </c>
    </row>
    <row r="178" spans="2:7" x14ac:dyDescent="0.3">
      <c r="B178" s="253">
        <f t="shared" si="10"/>
        <v>175</v>
      </c>
      <c r="C178" s="271" t="str">
        <f>IF('1. Questionnaire d''entretien '!R178="","N/A",'1. Questionnaire d''entretien '!R178)</f>
        <v>N/A</v>
      </c>
      <c r="D178" s="271" t="str">
        <f>IF('1. Questionnaire d''entretien '!T178="","N/A",'1. Questionnaire d''entretien '!T178)</f>
        <v>N/A</v>
      </c>
      <c r="E178" s="271" t="str">
        <f t="shared" si="8"/>
        <v>N/A</v>
      </c>
      <c r="F178" s="271" cm="1">
        <f t="array" ref="F178">_xlfn.IFS('1. Questionnaire d''entretien '!B178=1,1,'1. Questionnaire d''entretien '!B178=2,0.75,'1. Questionnaire d''entretien '!B178=3,0.5)</f>
        <v>1</v>
      </c>
      <c r="G178" s="273" t="str">
        <f t="shared" si="9"/>
        <v>N/A</v>
      </c>
    </row>
    <row r="179" spans="2:7" x14ac:dyDescent="0.3">
      <c r="B179" s="253">
        <f t="shared" si="10"/>
        <v>176</v>
      </c>
      <c r="C179" s="271" t="str">
        <f>IF('1. Questionnaire d''entretien '!R179="","N/A",'1. Questionnaire d''entretien '!R179)</f>
        <v>N/A</v>
      </c>
      <c r="D179" s="271" t="str">
        <f>IF('1. Questionnaire d''entretien '!T179="","N/A",'1. Questionnaire d''entretien '!T179)</f>
        <v>N/A</v>
      </c>
      <c r="E179" s="271" t="str">
        <f t="shared" si="8"/>
        <v>N/A</v>
      </c>
      <c r="F179" s="271" cm="1">
        <f t="array" ref="F179">_xlfn.IFS('1. Questionnaire d''entretien '!B179=1,1,'1. Questionnaire d''entretien '!B179=2,0.75,'1. Questionnaire d''entretien '!B179=3,0.5)</f>
        <v>0.75</v>
      </c>
      <c r="G179" s="273" t="str">
        <f t="shared" si="9"/>
        <v>N/A</v>
      </c>
    </row>
    <row r="180" spans="2:7" x14ac:dyDescent="0.3">
      <c r="B180" s="253">
        <f t="shared" si="10"/>
        <v>177</v>
      </c>
      <c r="C180" s="271" t="str">
        <f>IF('1. Questionnaire d''entretien '!R180="","N/A",'1. Questionnaire d''entretien '!R180)</f>
        <v>N/A</v>
      </c>
      <c r="D180" s="271" t="str">
        <f>IF('1. Questionnaire d''entretien '!T180="","N/A",'1. Questionnaire d''entretien '!T180)</f>
        <v>N/A</v>
      </c>
      <c r="E180" s="271" t="str">
        <f t="shared" si="8"/>
        <v>N/A</v>
      </c>
      <c r="F180" s="271" cm="1">
        <f t="array" ref="F180">_xlfn.IFS('1. Questionnaire d''entretien '!B180=1,1,'1. Questionnaire d''entretien '!B180=2,0.75,'1. Questionnaire d''entretien '!B180=3,0.5)</f>
        <v>0.75</v>
      </c>
      <c r="G180" s="273" t="str">
        <f t="shared" si="9"/>
        <v>N/A</v>
      </c>
    </row>
    <row r="181" spans="2:7" x14ac:dyDescent="0.3">
      <c r="B181" s="253">
        <f t="shared" si="10"/>
        <v>178</v>
      </c>
      <c r="C181" s="271" t="str">
        <f>IF('1. Questionnaire d''entretien '!R181="","N/A",'1. Questionnaire d''entretien '!R181)</f>
        <v>N/A</v>
      </c>
      <c r="D181" s="271" t="str">
        <f>IF('1. Questionnaire d''entretien '!T181="","N/A",'1. Questionnaire d''entretien '!T181)</f>
        <v>N/A</v>
      </c>
      <c r="E181" s="271" t="str">
        <f t="shared" si="8"/>
        <v>N/A</v>
      </c>
      <c r="F181" s="271" cm="1">
        <f t="array" ref="F181">_xlfn.IFS('1. Questionnaire d''entretien '!B181=1,1,'1. Questionnaire d''entretien '!B181=2,0.75,'1. Questionnaire d''entretien '!B181=3,0.5)</f>
        <v>0.75</v>
      </c>
      <c r="G181" s="273" t="str">
        <f t="shared" si="9"/>
        <v>N/A</v>
      </c>
    </row>
    <row r="182" spans="2:7" x14ac:dyDescent="0.3">
      <c r="B182" s="253">
        <f t="shared" si="10"/>
        <v>179</v>
      </c>
      <c r="C182" s="271" t="str">
        <f>IF('1. Questionnaire d''entretien '!R182="","N/A",'1. Questionnaire d''entretien '!R182)</f>
        <v>N/A</v>
      </c>
      <c r="D182" s="271" t="str">
        <f>IF('1. Questionnaire d''entretien '!T182="","N/A",'1. Questionnaire d''entretien '!T182)</f>
        <v>N/A</v>
      </c>
      <c r="E182" s="271" t="str">
        <f t="shared" si="8"/>
        <v>N/A</v>
      </c>
      <c r="F182" s="271" cm="1">
        <f t="array" ref="F182">_xlfn.IFS('1. Questionnaire d''entretien '!B182=1,1,'1. Questionnaire d''entretien '!B182=2,0.75,'1. Questionnaire d''entretien '!B182=3,0.5)</f>
        <v>0.5</v>
      </c>
      <c r="G182" s="273" t="str">
        <f t="shared" si="9"/>
        <v>N/A</v>
      </c>
    </row>
    <row r="183" spans="2:7" x14ac:dyDescent="0.3">
      <c r="B183" s="253">
        <f t="shared" si="10"/>
        <v>180</v>
      </c>
      <c r="C183" s="271" t="str">
        <f>IF('1. Questionnaire d''entretien '!R183="","N/A",'1. Questionnaire d''entretien '!R183)</f>
        <v>N/A</v>
      </c>
      <c r="D183" s="271" t="str">
        <f>IF('1. Questionnaire d''entretien '!T183="","N/A",'1. Questionnaire d''entretien '!T183)</f>
        <v>N/A</v>
      </c>
      <c r="E183" s="271" t="str">
        <f t="shared" si="8"/>
        <v>N/A</v>
      </c>
      <c r="F183" s="271" cm="1">
        <f t="array" ref="F183">_xlfn.IFS('1. Questionnaire d''entretien '!B183=1,1,'1. Questionnaire d''entretien '!B183=2,0.75,'1. Questionnaire d''entretien '!B183=3,0.5)</f>
        <v>0.75</v>
      </c>
      <c r="G183" s="273" t="str">
        <f t="shared" si="9"/>
        <v>N/A</v>
      </c>
    </row>
    <row r="184" spans="2:7" x14ac:dyDescent="0.3">
      <c r="B184" s="253">
        <f t="shared" si="10"/>
        <v>181</v>
      </c>
      <c r="C184" s="271" t="str">
        <f>IF('1. Questionnaire d''entretien '!R184="","N/A",'1. Questionnaire d''entretien '!R184)</f>
        <v>N/A</v>
      </c>
      <c r="D184" s="271" t="str">
        <f>IF('1. Questionnaire d''entretien '!T184="","N/A",'1. Questionnaire d''entretien '!T184)</f>
        <v>N/A</v>
      </c>
      <c r="E184" s="271" t="str">
        <f t="shared" si="8"/>
        <v>N/A</v>
      </c>
      <c r="F184" s="271" cm="1">
        <f t="array" ref="F184">_xlfn.IFS('1. Questionnaire d''entretien '!B184=1,1,'1. Questionnaire d''entretien '!B184=2,0.75,'1. Questionnaire d''entretien '!B184=3,0.5)</f>
        <v>0.5</v>
      </c>
      <c r="G184" s="273" t="str">
        <f t="shared" si="9"/>
        <v>N/A</v>
      </c>
    </row>
    <row r="185" spans="2:7" x14ac:dyDescent="0.3">
      <c r="B185" s="253">
        <f t="shared" si="10"/>
        <v>182</v>
      </c>
      <c r="C185" s="271" t="str">
        <f>IF('1. Questionnaire d''entretien '!R185="","N/A",'1. Questionnaire d''entretien '!R185)</f>
        <v>N/A</v>
      </c>
      <c r="D185" s="271" t="str">
        <f>IF('1. Questionnaire d''entretien '!T185="","N/A",'1. Questionnaire d''entretien '!T185)</f>
        <v>N/A</v>
      </c>
      <c r="E185" s="271" t="str">
        <f t="shared" si="8"/>
        <v>N/A</v>
      </c>
      <c r="F185" s="271" cm="1">
        <f t="array" ref="F185">_xlfn.IFS('1. Questionnaire d''entretien '!B185=1,1,'1. Questionnaire d''entretien '!B185=2,0.75,'1. Questionnaire d''entretien '!B185=3,0.5)</f>
        <v>0.5</v>
      </c>
      <c r="G185" s="273" t="str">
        <f t="shared" si="9"/>
        <v>N/A</v>
      </c>
    </row>
    <row r="186" spans="2:7" x14ac:dyDescent="0.3">
      <c r="B186" s="253">
        <f t="shared" si="10"/>
        <v>183</v>
      </c>
      <c r="C186" s="271" t="str">
        <f>IF('1. Questionnaire d''entretien '!R186="","N/A",'1. Questionnaire d''entretien '!R186)</f>
        <v>N/A</v>
      </c>
      <c r="D186" s="271" t="str">
        <f>IF('1. Questionnaire d''entretien '!T186="","N/A",'1. Questionnaire d''entretien '!T186)</f>
        <v>N/A</v>
      </c>
      <c r="E186" s="271" t="str">
        <f t="shared" si="8"/>
        <v>N/A</v>
      </c>
      <c r="F186" s="271" cm="1">
        <f t="array" ref="F186">_xlfn.IFS('1. Questionnaire d''entretien '!B186=1,1,'1. Questionnaire d''entretien '!B186=2,0.75,'1. Questionnaire d''entretien '!B186=3,0.5)</f>
        <v>0.5</v>
      </c>
      <c r="G186" s="273" t="str">
        <f t="shared" si="9"/>
        <v>N/A</v>
      </c>
    </row>
    <row r="187" spans="2:7" x14ac:dyDescent="0.3">
      <c r="B187" s="253">
        <f t="shared" si="10"/>
        <v>184</v>
      </c>
      <c r="C187" s="271" t="str">
        <f>IF('1. Questionnaire d''entretien '!R187="","N/A",'1. Questionnaire d''entretien '!R187)</f>
        <v>N/A</v>
      </c>
      <c r="D187" s="271" t="str">
        <f>IF('1. Questionnaire d''entretien '!T187="","N/A",'1. Questionnaire d''entretien '!T187)</f>
        <v>N/A</v>
      </c>
      <c r="E187" s="271" t="str">
        <f t="shared" si="8"/>
        <v>N/A</v>
      </c>
      <c r="F187" s="271" cm="1">
        <f t="array" ref="F187">_xlfn.IFS('1. Questionnaire d''entretien '!B187=1,1,'1. Questionnaire d''entretien '!B187=2,0.75,'1. Questionnaire d''entretien '!B187=3,0.5)</f>
        <v>1</v>
      </c>
      <c r="G187" s="273" t="str">
        <f t="shared" si="9"/>
        <v>N/A</v>
      </c>
    </row>
    <row r="188" spans="2:7" x14ac:dyDescent="0.3">
      <c r="B188" s="253">
        <f t="shared" si="10"/>
        <v>185</v>
      </c>
      <c r="C188" s="271" t="str">
        <f>IF('1. Questionnaire d''entretien '!R188="","N/A",'1. Questionnaire d''entretien '!R188)</f>
        <v>N/A</v>
      </c>
      <c r="D188" s="271" t="str">
        <f>IF('1. Questionnaire d''entretien '!T188="","N/A",'1. Questionnaire d''entretien '!T188)</f>
        <v>N/A</v>
      </c>
      <c r="E188" s="271" t="str">
        <f t="shared" si="8"/>
        <v>N/A</v>
      </c>
      <c r="F188" s="271" cm="1">
        <f t="array" ref="F188">_xlfn.IFS('1. Questionnaire d''entretien '!B188=1,1,'1. Questionnaire d''entretien '!B188=2,0.75,'1. Questionnaire d''entretien '!B188=3,0.5)</f>
        <v>1</v>
      </c>
      <c r="G188" s="273" t="str">
        <f t="shared" si="9"/>
        <v>N/A</v>
      </c>
    </row>
    <row r="189" spans="2:7" x14ac:dyDescent="0.3">
      <c r="B189" s="253">
        <f t="shared" si="10"/>
        <v>186</v>
      </c>
      <c r="C189" s="271" t="str">
        <f>IF('1. Questionnaire d''entretien '!R189="","N/A",'1. Questionnaire d''entretien '!R189)</f>
        <v>N/A</v>
      </c>
      <c r="D189" s="271" t="str">
        <f>IF('1. Questionnaire d''entretien '!T189="","N/A",'1. Questionnaire d''entretien '!T189)</f>
        <v>N/A</v>
      </c>
      <c r="E189" s="271" t="str">
        <f t="shared" si="8"/>
        <v>N/A</v>
      </c>
      <c r="F189" s="271" cm="1">
        <f t="array" ref="F189">_xlfn.IFS('1. Questionnaire d''entretien '!B189=1,1,'1. Questionnaire d''entretien '!B189=2,0.75,'1. Questionnaire d''entretien '!B189=3,0.5)</f>
        <v>1</v>
      </c>
      <c r="G189" s="273" t="str">
        <f t="shared" si="9"/>
        <v>N/A</v>
      </c>
    </row>
    <row r="190" spans="2:7" x14ac:dyDescent="0.3">
      <c r="B190" s="253">
        <f t="shared" si="10"/>
        <v>187</v>
      </c>
      <c r="C190" s="271" t="str">
        <f>IF('1. Questionnaire d''entretien '!R190="","N/A",'1. Questionnaire d''entretien '!R190)</f>
        <v>N/A</v>
      </c>
      <c r="D190" s="271" t="str">
        <f>IF('1. Questionnaire d''entretien '!T190="","N/A",'1. Questionnaire d''entretien '!T190)</f>
        <v>N/A</v>
      </c>
      <c r="E190" s="271" t="str">
        <f t="shared" si="8"/>
        <v>N/A</v>
      </c>
      <c r="F190" s="271" cm="1">
        <f t="array" ref="F190">_xlfn.IFS('1. Questionnaire d''entretien '!B190=1,1,'1. Questionnaire d''entretien '!B190=2,0.75,'1. Questionnaire d''entretien '!B190=3,0.5)</f>
        <v>0.75</v>
      </c>
      <c r="G190" s="273" t="str">
        <f t="shared" si="9"/>
        <v>N/A</v>
      </c>
    </row>
    <row r="191" spans="2:7" x14ac:dyDescent="0.3">
      <c r="B191" s="253">
        <f t="shared" si="10"/>
        <v>188</v>
      </c>
      <c r="C191" s="271" t="str">
        <f>IF('1. Questionnaire d''entretien '!R191="","N/A",'1. Questionnaire d''entretien '!R191)</f>
        <v>N/A</v>
      </c>
      <c r="D191" s="271" t="str">
        <f>IF('1. Questionnaire d''entretien '!T191="","N/A",'1. Questionnaire d''entretien '!T191)</f>
        <v>N/A</v>
      </c>
      <c r="E191" s="271" t="str">
        <f t="shared" si="8"/>
        <v>N/A</v>
      </c>
      <c r="F191" s="271" cm="1">
        <f t="array" ref="F191">_xlfn.IFS('1. Questionnaire d''entretien '!B191=1,1,'1. Questionnaire d''entretien '!B191=2,0.75,'1. Questionnaire d''entretien '!B191=3,0.5)</f>
        <v>0.75</v>
      </c>
      <c r="G191" s="273" t="str">
        <f t="shared" si="9"/>
        <v>N/A</v>
      </c>
    </row>
    <row r="192" spans="2:7" x14ac:dyDescent="0.3">
      <c r="B192" s="253">
        <f t="shared" si="10"/>
        <v>189</v>
      </c>
      <c r="C192" s="271" t="str">
        <f>IF('1. Questionnaire d''entretien '!R192="","N/A",'1. Questionnaire d''entretien '!R192)</f>
        <v>N/A</v>
      </c>
      <c r="D192" s="271" t="str">
        <f>IF('1. Questionnaire d''entretien '!T192="","N/A",'1. Questionnaire d''entretien '!T192)</f>
        <v>N/A</v>
      </c>
      <c r="E192" s="271" t="str">
        <f t="shared" si="8"/>
        <v>N/A</v>
      </c>
      <c r="F192" s="271" cm="1">
        <f t="array" ref="F192">_xlfn.IFS('1. Questionnaire d''entretien '!B192=1,1,'1. Questionnaire d''entretien '!B192=2,0.75,'1. Questionnaire d''entretien '!B192=3,0.5)</f>
        <v>0.75</v>
      </c>
      <c r="G192" s="273" t="str">
        <f t="shared" si="9"/>
        <v>N/A</v>
      </c>
    </row>
    <row r="193" spans="2:7" x14ac:dyDescent="0.3">
      <c r="B193" s="253">
        <f t="shared" si="10"/>
        <v>190</v>
      </c>
      <c r="C193" s="271" t="str">
        <f>IF('1. Questionnaire d''entretien '!R193="","N/A",'1. Questionnaire d''entretien '!R193)</f>
        <v>N/A</v>
      </c>
      <c r="D193" s="271" t="str">
        <f>IF('1. Questionnaire d''entretien '!T193="","N/A",'1. Questionnaire d''entretien '!T193)</f>
        <v>N/A</v>
      </c>
      <c r="E193" s="271" t="str">
        <f t="shared" si="8"/>
        <v>N/A</v>
      </c>
      <c r="F193" s="271" cm="1">
        <f t="array" ref="F193">_xlfn.IFS('1. Questionnaire d''entretien '!B193=1,1,'1. Questionnaire d''entretien '!B193=2,0.75,'1. Questionnaire d''entretien '!B193=3,0.5)</f>
        <v>0.75</v>
      </c>
      <c r="G193" s="273" t="str">
        <f t="shared" si="9"/>
        <v>N/A</v>
      </c>
    </row>
    <row r="194" spans="2:7" x14ac:dyDescent="0.3">
      <c r="B194" s="253">
        <f t="shared" si="10"/>
        <v>191</v>
      </c>
      <c r="C194" s="271" t="str">
        <f>IF('1. Questionnaire d''entretien '!R194="","N/A",'1. Questionnaire d''entretien '!R194)</f>
        <v>N/A</v>
      </c>
      <c r="D194" s="271" t="str">
        <f>IF('1. Questionnaire d''entretien '!T194="","N/A",'1. Questionnaire d''entretien '!T194)</f>
        <v>N/A</v>
      </c>
      <c r="E194" s="271" t="str">
        <f t="shared" si="8"/>
        <v>N/A</v>
      </c>
      <c r="F194" s="271" cm="1">
        <f t="array" ref="F194">_xlfn.IFS('1. Questionnaire d''entretien '!B194=1,1,'1. Questionnaire d''entretien '!B194=2,0.75,'1. Questionnaire d''entretien '!B194=3,0.5)</f>
        <v>0.75</v>
      </c>
      <c r="G194" s="273" t="str">
        <f t="shared" si="9"/>
        <v>N/A</v>
      </c>
    </row>
    <row r="195" spans="2:7" x14ac:dyDescent="0.3">
      <c r="B195" s="253">
        <f t="shared" si="10"/>
        <v>192</v>
      </c>
      <c r="C195" s="271" t="str">
        <f>IF('1. Questionnaire d''entretien '!R195="","N/A",'1. Questionnaire d''entretien '!R195)</f>
        <v>N/A</v>
      </c>
      <c r="D195" s="271" t="str">
        <f>IF('1. Questionnaire d''entretien '!T195="","N/A",'1. Questionnaire d''entretien '!T195)</f>
        <v>N/A</v>
      </c>
      <c r="E195" s="271" t="str">
        <f t="shared" si="8"/>
        <v>N/A</v>
      </c>
      <c r="F195" s="271" cm="1">
        <f t="array" ref="F195">_xlfn.IFS('1. Questionnaire d''entretien '!B195=1,1,'1. Questionnaire d''entretien '!B195=2,0.75,'1. Questionnaire d''entretien '!B195=3,0.5)</f>
        <v>0.5</v>
      </c>
      <c r="G195" s="273" t="str">
        <f t="shared" si="9"/>
        <v>N/A</v>
      </c>
    </row>
    <row r="196" spans="2:7" x14ac:dyDescent="0.3">
      <c r="B196" s="253">
        <f t="shared" si="10"/>
        <v>193</v>
      </c>
      <c r="C196" s="271" t="str">
        <f>IF('1. Questionnaire d''entretien '!R196="","N/A",'1. Questionnaire d''entretien '!R196)</f>
        <v>N/A</v>
      </c>
      <c r="D196" s="271" t="str">
        <f>IF('1. Questionnaire d''entretien '!T196="","N/A",'1. Questionnaire d''entretien '!T196)</f>
        <v>N/A</v>
      </c>
      <c r="E196" s="271" t="str">
        <f t="shared" ref="E196:E215" si="11">IF(AND(C196="N/A",D196="N/A"),"N/A",AVERAGE(C196:D196))</f>
        <v>N/A</v>
      </c>
      <c r="F196" s="271" cm="1">
        <f t="array" ref="F196">_xlfn.IFS('1. Questionnaire d''entretien '!B196=1,1,'1. Questionnaire d''entretien '!B196=2,0.75,'1. Questionnaire d''entretien '!B196=3,0.5)</f>
        <v>1</v>
      </c>
      <c r="G196" s="273" t="str">
        <f t="shared" ref="G196:G215" si="12">IF(E196="N/A","N/A",E196*F196)</f>
        <v>N/A</v>
      </c>
    </row>
    <row r="197" spans="2:7" x14ac:dyDescent="0.3">
      <c r="B197" s="253">
        <f t="shared" si="10"/>
        <v>194</v>
      </c>
      <c r="C197" s="271" t="str">
        <f>IF('1. Questionnaire d''entretien '!R197="","N/A",'1. Questionnaire d''entretien '!R197)</f>
        <v>N/A</v>
      </c>
      <c r="D197" s="271" t="str">
        <f>IF('1. Questionnaire d''entretien '!T197="","N/A",'1. Questionnaire d''entretien '!T197)</f>
        <v>N/A</v>
      </c>
      <c r="E197" s="271" t="str">
        <f t="shared" si="11"/>
        <v>N/A</v>
      </c>
      <c r="F197" s="271" cm="1">
        <f t="array" ref="F197">_xlfn.IFS('1. Questionnaire d''entretien '!B197=1,1,'1. Questionnaire d''entretien '!B197=2,0.75,'1. Questionnaire d''entretien '!B197=3,0.5)</f>
        <v>1</v>
      </c>
      <c r="G197" s="273" t="str">
        <f t="shared" si="12"/>
        <v>N/A</v>
      </c>
    </row>
    <row r="198" spans="2:7" x14ac:dyDescent="0.3">
      <c r="B198" s="253">
        <f t="shared" ref="B198:B215" si="13">B197+1</f>
        <v>195</v>
      </c>
      <c r="C198" s="271" t="str">
        <f>IF('1. Questionnaire d''entretien '!R198="","N/A",'1. Questionnaire d''entretien '!R198)</f>
        <v>N/A</v>
      </c>
      <c r="D198" s="271" t="str">
        <f>IF('1. Questionnaire d''entretien '!T198="","N/A",'1. Questionnaire d''entretien '!T198)</f>
        <v>N/A</v>
      </c>
      <c r="E198" s="271" t="str">
        <f t="shared" si="11"/>
        <v>N/A</v>
      </c>
      <c r="F198" s="271" cm="1">
        <f t="array" ref="F198">_xlfn.IFS('1. Questionnaire d''entretien '!B198=1,1,'1. Questionnaire d''entretien '!B198=2,0.75,'1. Questionnaire d''entretien '!B198=3,0.5)</f>
        <v>1</v>
      </c>
      <c r="G198" s="273" t="str">
        <f t="shared" si="12"/>
        <v>N/A</v>
      </c>
    </row>
    <row r="199" spans="2:7" x14ac:dyDescent="0.3">
      <c r="B199" s="253">
        <f t="shared" si="13"/>
        <v>196</v>
      </c>
      <c r="C199" s="271" t="str">
        <f>IF('1. Questionnaire d''entretien '!R199="","N/A",'1. Questionnaire d''entretien '!R199)</f>
        <v>N/A</v>
      </c>
      <c r="D199" s="271" t="str">
        <f>IF('1. Questionnaire d''entretien '!T199="","N/A",'1. Questionnaire d''entretien '!T199)</f>
        <v>N/A</v>
      </c>
      <c r="E199" s="271" t="str">
        <f t="shared" si="11"/>
        <v>N/A</v>
      </c>
      <c r="F199" s="271" cm="1">
        <f t="array" ref="F199">_xlfn.IFS('1. Questionnaire d''entretien '!B199=1,1,'1. Questionnaire d''entretien '!B199=2,0.75,'1. Questionnaire d''entretien '!B199=3,0.5)</f>
        <v>1</v>
      </c>
      <c r="G199" s="273" t="str">
        <f t="shared" si="12"/>
        <v>N/A</v>
      </c>
    </row>
    <row r="200" spans="2:7" x14ac:dyDescent="0.3">
      <c r="B200" s="253">
        <f t="shared" si="13"/>
        <v>197</v>
      </c>
      <c r="C200" s="271" t="str">
        <f>IF('1. Questionnaire d''entretien '!R200="","N/A",'1. Questionnaire d''entretien '!R200)</f>
        <v>N/A</v>
      </c>
      <c r="D200" s="271" t="str">
        <f>IF('1. Questionnaire d''entretien '!T200="","N/A",'1. Questionnaire d''entretien '!T200)</f>
        <v>N/A</v>
      </c>
      <c r="E200" s="271" t="str">
        <f t="shared" si="11"/>
        <v>N/A</v>
      </c>
      <c r="F200" s="271" cm="1">
        <f t="array" ref="F200">_xlfn.IFS('1. Questionnaire d''entretien '!B200=1,1,'1. Questionnaire d''entretien '!B200=2,0.75,'1. Questionnaire d''entretien '!B200=3,0.5)</f>
        <v>0.75</v>
      </c>
      <c r="G200" s="273" t="str">
        <f t="shared" si="12"/>
        <v>N/A</v>
      </c>
    </row>
    <row r="201" spans="2:7" x14ac:dyDescent="0.3">
      <c r="B201" s="253">
        <f t="shared" si="13"/>
        <v>198</v>
      </c>
      <c r="C201" s="271" t="str">
        <f>IF('1. Questionnaire d''entretien '!R201="","N/A",'1. Questionnaire d''entretien '!R201)</f>
        <v>N/A</v>
      </c>
      <c r="D201" s="271" t="str">
        <f>IF('1. Questionnaire d''entretien '!T201="","N/A",'1. Questionnaire d''entretien '!T201)</f>
        <v>N/A</v>
      </c>
      <c r="E201" s="271" t="str">
        <f t="shared" si="11"/>
        <v>N/A</v>
      </c>
      <c r="F201" s="271" cm="1">
        <f t="array" ref="F201">_xlfn.IFS('1. Questionnaire d''entretien '!B201=1,1,'1. Questionnaire d''entretien '!B201=2,0.75,'1. Questionnaire d''entretien '!B201=3,0.5)</f>
        <v>1</v>
      </c>
      <c r="G201" s="273" t="str">
        <f t="shared" si="12"/>
        <v>N/A</v>
      </c>
    </row>
    <row r="202" spans="2:7" x14ac:dyDescent="0.3">
      <c r="B202" s="253">
        <f t="shared" si="13"/>
        <v>199</v>
      </c>
      <c r="C202" s="271" t="str">
        <f>IF('1. Questionnaire d''entretien '!R202="","N/A",'1. Questionnaire d''entretien '!R202)</f>
        <v>N/A</v>
      </c>
      <c r="D202" s="271" t="str">
        <f>IF('1. Questionnaire d''entretien '!T202="","N/A",'1. Questionnaire d''entretien '!T202)</f>
        <v>N/A</v>
      </c>
      <c r="E202" s="271" t="str">
        <f t="shared" si="11"/>
        <v>N/A</v>
      </c>
      <c r="F202" s="271" cm="1">
        <f t="array" ref="F202">_xlfn.IFS('1. Questionnaire d''entretien '!B202=1,1,'1. Questionnaire d''entretien '!B202=2,0.75,'1. Questionnaire d''entretien '!B202=3,0.5)</f>
        <v>1</v>
      </c>
      <c r="G202" s="273" t="str">
        <f t="shared" si="12"/>
        <v>N/A</v>
      </c>
    </row>
    <row r="203" spans="2:7" x14ac:dyDescent="0.3">
      <c r="B203" s="253">
        <f t="shared" si="13"/>
        <v>200</v>
      </c>
      <c r="C203" s="271" t="str">
        <f>IF('1. Questionnaire d''entretien '!R203="","N/A",'1. Questionnaire d''entretien '!R203)</f>
        <v>N/A</v>
      </c>
      <c r="D203" s="271" t="str">
        <f>IF('1. Questionnaire d''entretien '!T203="","N/A",'1. Questionnaire d''entretien '!T203)</f>
        <v>N/A</v>
      </c>
      <c r="E203" s="271" t="str">
        <f t="shared" si="11"/>
        <v>N/A</v>
      </c>
      <c r="F203" s="271" cm="1">
        <f t="array" ref="F203">_xlfn.IFS('1. Questionnaire d''entretien '!B203=1,1,'1. Questionnaire d''entretien '!B203=2,0.75,'1. Questionnaire d''entretien '!B203=3,0.5)</f>
        <v>1</v>
      </c>
      <c r="G203" s="273" t="str">
        <f t="shared" si="12"/>
        <v>N/A</v>
      </c>
    </row>
    <row r="204" spans="2:7" x14ac:dyDescent="0.3">
      <c r="B204" s="253">
        <f t="shared" si="13"/>
        <v>201</v>
      </c>
      <c r="C204" s="271" t="str">
        <f>IF('1. Questionnaire d''entretien '!R204="","N/A",'1. Questionnaire d''entretien '!R204)</f>
        <v>N/A</v>
      </c>
      <c r="D204" s="271" t="str">
        <f>IF('1. Questionnaire d''entretien '!T204="","N/A",'1. Questionnaire d''entretien '!T204)</f>
        <v>N/A</v>
      </c>
      <c r="E204" s="271" t="str">
        <f t="shared" si="11"/>
        <v>N/A</v>
      </c>
      <c r="F204" s="271" cm="1">
        <f t="array" ref="F204">_xlfn.IFS('1. Questionnaire d''entretien '!B204=1,1,'1. Questionnaire d''entretien '!B204=2,0.75,'1. Questionnaire d''entretien '!B204=3,0.5)</f>
        <v>1</v>
      </c>
      <c r="G204" s="273" t="str">
        <f t="shared" si="12"/>
        <v>N/A</v>
      </c>
    </row>
    <row r="205" spans="2:7" x14ac:dyDescent="0.3">
      <c r="B205" s="253">
        <f t="shared" si="13"/>
        <v>202</v>
      </c>
      <c r="C205" s="271" t="str">
        <f>IF('1. Questionnaire d''entretien '!R205="","N/A",'1. Questionnaire d''entretien '!R205)</f>
        <v>N/A</v>
      </c>
      <c r="D205" s="271" t="str">
        <f>IF('1. Questionnaire d''entretien '!T205="","N/A",'1. Questionnaire d''entretien '!T205)</f>
        <v>N/A</v>
      </c>
      <c r="E205" s="271" t="str">
        <f t="shared" si="11"/>
        <v>N/A</v>
      </c>
      <c r="F205" s="271" cm="1">
        <f t="array" ref="F205">_xlfn.IFS('1. Questionnaire d''entretien '!B205=1,1,'1. Questionnaire d''entretien '!B205=2,0.75,'1. Questionnaire d''entretien '!B205=3,0.5)</f>
        <v>1</v>
      </c>
      <c r="G205" s="273" t="str">
        <f t="shared" si="12"/>
        <v>N/A</v>
      </c>
    </row>
    <row r="206" spans="2:7" x14ac:dyDescent="0.3">
      <c r="B206" s="253">
        <f t="shared" si="13"/>
        <v>203</v>
      </c>
      <c r="C206" s="271" t="str">
        <f>IF('1. Questionnaire d''entretien '!R206="","N/A",'1. Questionnaire d''entretien '!R206)</f>
        <v>N/A</v>
      </c>
      <c r="D206" s="271" t="str">
        <f>IF('1. Questionnaire d''entretien '!T206="","N/A",'1. Questionnaire d''entretien '!T206)</f>
        <v>N/A</v>
      </c>
      <c r="E206" s="271" t="str">
        <f t="shared" si="11"/>
        <v>N/A</v>
      </c>
      <c r="F206" s="271" cm="1">
        <f t="array" ref="F206">_xlfn.IFS('1. Questionnaire d''entretien '!B206=1,1,'1. Questionnaire d''entretien '!B206=2,0.75,'1. Questionnaire d''entretien '!B206=3,0.5)</f>
        <v>1</v>
      </c>
      <c r="G206" s="273" t="str">
        <f t="shared" si="12"/>
        <v>N/A</v>
      </c>
    </row>
    <row r="207" spans="2:7" x14ac:dyDescent="0.3">
      <c r="B207" s="253">
        <f t="shared" si="13"/>
        <v>204</v>
      </c>
      <c r="C207" s="271" t="str">
        <f>IF('1. Questionnaire d''entretien '!R207="","N/A",'1. Questionnaire d''entretien '!R207)</f>
        <v>N/A</v>
      </c>
      <c r="D207" s="271" t="str">
        <f>IF('1. Questionnaire d''entretien '!T207="","N/A",'1. Questionnaire d''entretien '!T207)</f>
        <v>N/A</v>
      </c>
      <c r="E207" s="271" t="str">
        <f t="shared" si="11"/>
        <v>N/A</v>
      </c>
      <c r="F207" s="271" cm="1">
        <f t="array" ref="F207">_xlfn.IFS('1. Questionnaire d''entretien '!B207=1,1,'1. Questionnaire d''entretien '!B207=2,0.75,'1. Questionnaire d''entretien '!B207=3,0.5)</f>
        <v>1</v>
      </c>
      <c r="G207" s="273" t="str">
        <f t="shared" si="12"/>
        <v>N/A</v>
      </c>
    </row>
    <row r="208" spans="2:7" x14ac:dyDescent="0.3">
      <c r="B208" s="253">
        <f t="shared" si="13"/>
        <v>205</v>
      </c>
      <c r="C208" s="271" t="str">
        <f>IF('1. Questionnaire d''entretien '!R208="","N/A",'1. Questionnaire d''entretien '!R208)</f>
        <v>N/A</v>
      </c>
      <c r="D208" s="271" t="str">
        <f>IF('1. Questionnaire d''entretien '!T208="","N/A",'1. Questionnaire d''entretien '!T208)</f>
        <v>N/A</v>
      </c>
      <c r="E208" s="271" t="str">
        <f t="shared" si="11"/>
        <v>N/A</v>
      </c>
      <c r="F208" s="271" cm="1">
        <f t="array" ref="F208">_xlfn.IFS('1. Questionnaire d''entretien '!B208=1,1,'1. Questionnaire d''entretien '!B208=2,0.75,'1. Questionnaire d''entretien '!B208=3,0.5)</f>
        <v>0.75</v>
      </c>
      <c r="G208" s="273" t="str">
        <f t="shared" si="12"/>
        <v>N/A</v>
      </c>
    </row>
    <row r="209" spans="2:7" x14ac:dyDescent="0.3">
      <c r="B209" s="253">
        <f t="shared" si="13"/>
        <v>206</v>
      </c>
      <c r="C209" s="271" t="str">
        <f>IF('1. Questionnaire d''entretien '!R209="","N/A",'1. Questionnaire d''entretien '!R209)</f>
        <v>N/A</v>
      </c>
      <c r="D209" s="271" t="str">
        <f>IF('1. Questionnaire d''entretien '!T209="","N/A",'1. Questionnaire d''entretien '!T209)</f>
        <v>N/A</v>
      </c>
      <c r="E209" s="271" t="str">
        <f t="shared" si="11"/>
        <v>N/A</v>
      </c>
      <c r="F209" s="271" cm="1">
        <f t="array" ref="F209">_xlfn.IFS('1. Questionnaire d''entretien '!B209=1,1,'1. Questionnaire d''entretien '!B209=2,0.75,'1. Questionnaire d''entretien '!B209=3,0.5)</f>
        <v>0.75</v>
      </c>
      <c r="G209" s="273" t="str">
        <f t="shared" si="12"/>
        <v>N/A</v>
      </c>
    </row>
    <row r="210" spans="2:7" x14ac:dyDescent="0.3">
      <c r="B210" s="253">
        <f t="shared" si="13"/>
        <v>207</v>
      </c>
      <c r="C210" s="271" t="str">
        <f>IF('1. Questionnaire d''entretien '!R210="","N/A",'1. Questionnaire d''entretien '!R210)</f>
        <v>N/A</v>
      </c>
      <c r="D210" s="271" t="str">
        <f>IF('1. Questionnaire d''entretien '!T210="","N/A",'1. Questionnaire d''entretien '!T210)</f>
        <v>N/A</v>
      </c>
      <c r="E210" s="271" t="str">
        <f t="shared" si="11"/>
        <v>N/A</v>
      </c>
      <c r="F210" s="271" cm="1">
        <f t="array" ref="F210">_xlfn.IFS('1. Questionnaire d''entretien '!B210=1,1,'1. Questionnaire d''entretien '!B210=2,0.75,'1. Questionnaire d''entretien '!B210=3,0.5)</f>
        <v>0.75</v>
      </c>
      <c r="G210" s="273" t="str">
        <f t="shared" si="12"/>
        <v>N/A</v>
      </c>
    </row>
    <row r="211" spans="2:7" x14ac:dyDescent="0.3">
      <c r="B211" s="253">
        <f t="shared" si="13"/>
        <v>208</v>
      </c>
      <c r="C211" s="271" t="str">
        <f>IF('1. Questionnaire d''entretien '!R211="","N/A",'1. Questionnaire d''entretien '!R211)</f>
        <v>N/A</v>
      </c>
      <c r="D211" s="271" t="str">
        <f>IF('1. Questionnaire d''entretien '!T211="","N/A",'1. Questionnaire d''entretien '!T211)</f>
        <v>N/A</v>
      </c>
      <c r="E211" s="271" t="str">
        <f t="shared" si="11"/>
        <v>N/A</v>
      </c>
      <c r="F211" s="271" cm="1">
        <f t="array" ref="F211">_xlfn.IFS('1. Questionnaire d''entretien '!B211=1,1,'1. Questionnaire d''entretien '!B211=2,0.75,'1. Questionnaire d''entretien '!B211=3,0.5)</f>
        <v>0.75</v>
      </c>
      <c r="G211" s="273" t="str">
        <f t="shared" si="12"/>
        <v>N/A</v>
      </c>
    </row>
    <row r="212" spans="2:7" x14ac:dyDescent="0.3">
      <c r="B212" s="253">
        <f t="shared" si="13"/>
        <v>209</v>
      </c>
      <c r="C212" s="271" t="str">
        <f>IF('1. Questionnaire d''entretien '!R212="","N/A",'1. Questionnaire d''entretien '!R212)</f>
        <v>N/A</v>
      </c>
      <c r="D212" s="271" t="str">
        <f>IF('1. Questionnaire d''entretien '!T212="","N/A",'1. Questionnaire d''entretien '!T212)</f>
        <v>N/A</v>
      </c>
      <c r="E212" s="271" t="str">
        <f t="shared" si="11"/>
        <v>N/A</v>
      </c>
      <c r="F212" s="271" cm="1">
        <f t="array" ref="F212">_xlfn.IFS('1. Questionnaire d''entretien '!B212=1,1,'1. Questionnaire d''entretien '!B212=2,0.75,'1. Questionnaire d''entretien '!B212=3,0.5)</f>
        <v>0.5</v>
      </c>
      <c r="G212" s="273" t="str">
        <f t="shared" si="12"/>
        <v>N/A</v>
      </c>
    </row>
    <row r="213" spans="2:7" x14ac:dyDescent="0.3">
      <c r="B213" s="253">
        <f t="shared" si="13"/>
        <v>210</v>
      </c>
      <c r="C213" s="271" t="str">
        <f>IF('1. Questionnaire d''entretien '!R213="","N/A",'1. Questionnaire d''entretien '!R213)</f>
        <v>N/A</v>
      </c>
      <c r="D213" s="271" t="str">
        <f>IF('1. Questionnaire d''entretien '!T213="","N/A",'1. Questionnaire d''entretien '!T213)</f>
        <v>N/A</v>
      </c>
      <c r="E213" s="271" t="str">
        <f t="shared" si="11"/>
        <v>N/A</v>
      </c>
      <c r="F213" s="271" cm="1">
        <f t="array" ref="F213">_xlfn.IFS('1. Questionnaire d''entretien '!B213=1,1,'1. Questionnaire d''entretien '!B213=2,0.75,'1. Questionnaire d''entretien '!B213=3,0.5)</f>
        <v>0.75</v>
      </c>
      <c r="G213" s="273" t="str">
        <f t="shared" si="12"/>
        <v>N/A</v>
      </c>
    </row>
    <row r="214" spans="2:7" x14ac:dyDescent="0.3">
      <c r="B214" s="253">
        <f t="shared" si="13"/>
        <v>211</v>
      </c>
      <c r="C214" s="271" t="str">
        <f>IF('1. Questionnaire d''entretien '!R214="","N/A",'1. Questionnaire d''entretien '!R214)</f>
        <v>N/A</v>
      </c>
      <c r="D214" s="271" t="str">
        <f>IF('1. Questionnaire d''entretien '!T214="","N/A",'1. Questionnaire d''entretien '!T214)</f>
        <v>N/A</v>
      </c>
      <c r="E214" s="271" t="str">
        <f t="shared" si="11"/>
        <v>N/A</v>
      </c>
      <c r="F214" s="271" cm="1">
        <f t="array" ref="F214">_xlfn.IFS('1. Questionnaire d''entretien '!B214=1,1,'1. Questionnaire d''entretien '!B214=2,0.75,'1. Questionnaire d''entretien '!B214=3,0.5)</f>
        <v>0.75</v>
      </c>
      <c r="G214" s="273" t="str">
        <f t="shared" si="12"/>
        <v>N/A</v>
      </c>
    </row>
    <row r="215" spans="2:7" ht="15" thickBot="1" x14ac:dyDescent="0.35">
      <c r="B215" s="254">
        <f t="shared" si="13"/>
        <v>212</v>
      </c>
      <c r="C215" s="274" t="str">
        <f>IF('1. Questionnaire d''entretien '!R215="","N/A",'1. Questionnaire d''entretien '!R215)</f>
        <v>N/A</v>
      </c>
      <c r="D215" s="274" t="str">
        <f>IF('1. Questionnaire d''entretien '!T215="","N/A",'1. Questionnaire d''entretien '!T215)</f>
        <v>N/A</v>
      </c>
      <c r="E215" s="274" t="str">
        <f t="shared" si="11"/>
        <v>N/A</v>
      </c>
      <c r="F215" s="272" cm="1">
        <f t="array" ref="F215">_xlfn.IFS('1. Questionnaire d''entretien '!B215=1,1,'1. Questionnaire d''entretien '!B215=2,0.75,'1. Questionnaire d''entretien '!B215=3,0.5)</f>
        <v>0.75</v>
      </c>
      <c r="G215" s="275" t="str">
        <f t="shared" si="12"/>
        <v>N/A</v>
      </c>
    </row>
    <row r="216" spans="2:7" x14ac:dyDescent="0.3">
      <c r="B216" s="252"/>
    </row>
  </sheetData>
  <mergeCells count="5">
    <mergeCell ref="N15:O15"/>
    <mergeCell ref="B1:G2"/>
    <mergeCell ref="I1:L2"/>
    <mergeCell ref="N1:O2"/>
    <mergeCell ref="N13:O1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64994-1CDC-49B6-915E-1748A6C68847}">
  <dimension ref="A1:B18"/>
  <sheetViews>
    <sheetView workbookViewId="0">
      <selection activeCell="B40" sqref="B40"/>
    </sheetView>
  </sheetViews>
  <sheetFormatPr defaultColWidth="8.88671875" defaultRowHeight="14.4" x14ac:dyDescent="0.3"/>
  <cols>
    <col min="1" max="1" width="16.109375" customWidth="1"/>
    <col min="2" max="2" width="85.77734375" customWidth="1"/>
  </cols>
  <sheetData>
    <row r="1" spans="1:2" x14ac:dyDescent="0.3">
      <c r="A1" s="270" t="s">
        <v>719</v>
      </c>
      <c r="B1" s="270" t="s">
        <v>720</v>
      </c>
    </row>
    <row r="2" spans="1:2" x14ac:dyDescent="0.3">
      <c r="A2" s="257" t="s">
        <v>721</v>
      </c>
      <c r="B2" t="s">
        <v>722</v>
      </c>
    </row>
    <row r="3" spans="1:2" x14ac:dyDescent="0.3">
      <c r="A3" s="257" t="s">
        <v>729</v>
      </c>
      <c r="B3" t="s">
        <v>728</v>
      </c>
    </row>
    <row r="4" spans="1:2" x14ac:dyDescent="0.3">
      <c r="A4" s="257" t="s">
        <v>265</v>
      </c>
      <c r="B4" t="s">
        <v>740</v>
      </c>
    </row>
    <row r="5" spans="1:2" x14ac:dyDescent="0.3">
      <c r="A5" s="257" t="s">
        <v>741</v>
      </c>
      <c r="B5" t="s">
        <v>742</v>
      </c>
    </row>
    <row r="6" spans="1:2" x14ac:dyDescent="0.3">
      <c r="A6" s="257" t="s">
        <v>723</v>
      </c>
      <c r="B6" t="s">
        <v>724</v>
      </c>
    </row>
    <row r="7" spans="1:2" x14ac:dyDescent="0.3">
      <c r="A7" s="257" t="s">
        <v>749</v>
      </c>
      <c r="B7" t="s">
        <v>752</v>
      </c>
    </row>
    <row r="8" spans="1:2" x14ac:dyDescent="0.3">
      <c r="A8" s="257" t="s">
        <v>725</v>
      </c>
      <c r="B8" t="s">
        <v>726</v>
      </c>
    </row>
    <row r="9" spans="1:2" x14ac:dyDescent="0.3">
      <c r="A9" s="257" t="s">
        <v>727</v>
      </c>
      <c r="B9" t="s">
        <v>732</v>
      </c>
    </row>
    <row r="10" spans="1:2" x14ac:dyDescent="0.3">
      <c r="A10" s="257" t="s">
        <v>751</v>
      </c>
      <c r="B10" t="s">
        <v>750</v>
      </c>
    </row>
    <row r="11" spans="1:2" x14ac:dyDescent="0.3">
      <c r="A11" s="257" t="s">
        <v>733</v>
      </c>
      <c r="B11" t="s">
        <v>832</v>
      </c>
    </row>
    <row r="12" spans="1:2" x14ac:dyDescent="0.3">
      <c r="A12" s="257" t="s">
        <v>734</v>
      </c>
      <c r="B12" t="s">
        <v>735</v>
      </c>
    </row>
    <row r="13" spans="1:2" x14ac:dyDescent="0.3">
      <c r="A13" s="257" t="s">
        <v>738</v>
      </c>
      <c r="B13" t="s">
        <v>739</v>
      </c>
    </row>
    <row r="14" spans="1:2" x14ac:dyDescent="0.3">
      <c r="A14" s="257" t="s">
        <v>745</v>
      </c>
      <c r="B14" t="s">
        <v>746</v>
      </c>
    </row>
    <row r="15" spans="1:2" x14ac:dyDescent="0.3">
      <c r="A15" s="257" t="s">
        <v>736</v>
      </c>
      <c r="B15" t="s">
        <v>737</v>
      </c>
    </row>
    <row r="16" spans="1:2" x14ac:dyDescent="0.3">
      <c r="A16" s="257" t="s">
        <v>747</v>
      </c>
      <c r="B16" t="s">
        <v>748</v>
      </c>
    </row>
    <row r="17" spans="1:2" x14ac:dyDescent="0.3">
      <c r="A17" s="257" t="s">
        <v>743</v>
      </c>
      <c r="B17" t="s">
        <v>744</v>
      </c>
    </row>
    <row r="18" spans="1:2" x14ac:dyDescent="0.3">
      <c r="A18" s="257" t="s">
        <v>730</v>
      </c>
      <c r="B18" t="s">
        <v>731</v>
      </c>
    </row>
  </sheetData>
  <autoFilter ref="A1:B1" xr:uid="{77364994-1CDC-49B6-915E-1748A6C68847}">
    <sortState xmlns:xlrd2="http://schemas.microsoft.com/office/spreadsheetml/2017/richdata2" ref="A2:B18">
      <sortCondition ref="A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F719A-1404-44E6-A449-0B8F378B93AB}">
  <dimension ref="B2:B8"/>
  <sheetViews>
    <sheetView workbookViewId="0"/>
  </sheetViews>
  <sheetFormatPr defaultRowHeight="14.4" x14ac:dyDescent="0.3"/>
  <sheetData>
    <row r="2" spans="2:2" x14ac:dyDescent="0.3">
      <c r="B2" s="304" t="s">
        <v>831</v>
      </c>
    </row>
    <row r="3" spans="2:2" x14ac:dyDescent="0.3">
      <c r="B3" s="303">
        <v>0</v>
      </c>
    </row>
    <row r="4" spans="2:2" x14ac:dyDescent="0.3">
      <c r="B4" s="303">
        <v>1</v>
      </c>
    </row>
    <row r="5" spans="2:2" x14ac:dyDescent="0.3">
      <c r="B5" s="303">
        <v>2</v>
      </c>
    </row>
    <row r="6" spans="2:2" x14ac:dyDescent="0.3">
      <c r="B6" s="303">
        <v>3</v>
      </c>
    </row>
    <row r="7" spans="2:2" x14ac:dyDescent="0.3">
      <c r="B7" s="303">
        <v>4</v>
      </c>
    </row>
    <row r="8" spans="2:2" x14ac:dyDescent="0.3">
      <c r="B8" s="303" t="s">
        <v>833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8"/>
  <sheetViews>
    <sheetView showGridLines="0" zoomScale="80" zoomScaleNormal="80" workbookViewId="0">
      <selection activeCell="B40" sqref="B40"/>
    </sheetView>
  </sheetViews>
  <sheetFormatPr defaultColWidth="11.44140625" defaultRowHeight="18" customHeight="1" x14ac:dyDescent="0.3"/>
  <cols>
    <col min="1" max="1" width="8" style="25" customWidth="1"/>
    <col min="2" max="2" width="25.6640625" style="25" customWidth="1"/>
    <col min="3" max="3" width="14.5546875" style="25" customWidth="1"/>
    <col min="4" max="4" width="126.44140625" style="105" customWidth="1"/>
    <col min="5" max="5" width="33.77734375" style="110" customWidth="1"/>
    <col min="6" max="6" width="23.21875" style="26" customWidth="1"/>
    <col min="7" max="10" width="15.44140625" style="105" customWidth="1"/>
    <col min="11" max="16384" width="11.44140625" style="25"/>
  </cols>
  <sheetData>
    <row r="1" spans="1:15" ht="15.75" customHeight="1" x14ac:dyDescent="0.3">
      <c r="A1" s="349" t="s">
        <v>199</v>
      </c>
      <c r="B1" s="349"/>
      <c r="C1" s="349"/>
      <c r="D1" s="349"/>
      <c r="E1" s="349"/>
      <c r="F1" s="349"/>
      <c r="G1" s="346" t="s">
        <v>200</v>
      </c>
      <c r="H1" s="347"/>
      <c r="I1" s="347"/>
      <c r="J1" s="348"/>
      <c r="K1" s="41"/>
      <c r="L1" s="41"/>
      <c r="M1" s="41"/>
      <c r="N1" s="41"/>
      <c r="O1" s="41"/>
    </row>
    <row r="2" spans="1:15" ht="18.75" customHeight="1" x14ac:dyDescent="0.3">
      <c r="A2" s="25" t="s">
        <v>477</v>
      </c>
      <c r="B2" s="25" t="s">
        <v>502</v>
      </c>
      <c r="C2" s="25" t="s">
        <v>252</v>
      </c>
      <c r="D2" s="106" t="s">
        <v>201</v>
      </c>
      <c r="E2" s="107" t="s">
        <v>181</v>
      </c>
      <c r="F2" s="43" t="s">
        <v>198</v>
      </c>
      <c r="G2" s="99">
        <v>1</v>
      </c>
      <c r="H2" s="100">
        <v>2</v>
      </c>
      <c r="I2" s="100">
        <v>3</v>
      </c>
      <c r="J2" s="101">
        <v>4</v>
      </c>
      <c r="K2" s="41"/>
      <c r="L2" s="41"/>
      <c r="M2" s="41"/>
      <c r="N2" s="41"/>
      <c r="O2" s="41"/>
    </row>
    <row r="3" spans="1:15" ht="15.75" customHeight="1" x14ac:dyDescent="0.3">
      <c r="A3" s="96">
        <v>1</v>
      </c>
      <c r="B3" s="230" t="s">
        <v>503</v>
      </c>
      <c r="C3" s="14" t="s">
        <v>397</v>
      </c>
      <c r="D3" s="88" t="s">
        <v>398</v>
      </c>
      <c r="E3" s="108"/>
      <c r="F3" s="77"/>
      <c r="G3" s="91" t="s">
        <v>211</v>
      </c>
      <c r="H3" s="56" t="s">
        <v>401</v>
      </c>
      <c r="I3" s="56" t="s">
        <v>399</v>
      </c>
      <c r="J3" s="92" t="s">
        <v>400</v>
      </c>
      <c r="K3" s="41"/>
      <c r="L3" s="41"/>
      <c r="M3" s="41"/>
      <c r="N3" s="41"/>
      <c r="O3" s="41"/>
    </row>
    <row r="4" spans="1:15" s="42" customFormat="1" ht="16.5" customHeight="1" x14ac:dyDescent="0.3">
      <c r="A4" s="96">
        <v>1</v>
      </c>
      <c r="B4" s="230" t="s">
        <v>503</v>
      </c>
      <c r="C4" s="14" t="s">
        <v>249</v>
      </c>
      <c r="D4" s="88" t="s">
        <v>159</v>
      </c>
      <c r="E4" s="7"/>
      <c r="F4" s="32"/>
      <c r="G4" s="91" t="s">
        <v>211</v>
      </c>
      <c r="H4" s="56" t="s">
        <v>203</v>
      </c>
      <c r="I4" s="56" t="s">
        <v>204</v>
      </c>
      <c r="J4" s="92" t="s">
        <v>205</v>
      </c>
      <c r="K4" s="41"/>
      <c r="L4" s="41"/>
      <c r="M4" s="41"/>
      <c r="N4" s="41"/>
      <c r="O4" s="41"/>
    </row>
    <row r="5" spans="1:15" s="42" customFormat="1" ht="16.5" customHeight="1" x14ac:dyDescent="0.3">
      <c r="A5" s="96">
        <v>1</v>
      </c>
      <c r="B5" s="230" t="s">
        <v>503</v>
      </c>
      <c r="C5" s="14" t="s">
        <v>249</v>
      </c>
      <c r="D5" s="88" t="s">
        <v>478</v>
      </c>
      <c r="E5" s="7"/>
      <c r="F5" s="32"/>
      <c r="G5" s="91" t="s">
        <v>211</v>
      </c>
      <c r="H5" s="56" t="s">
        <v>219</v>
      </c>
      <c r="I5" s="56" t="s">
        <v>220</v>
      </c>
      <c r="J5" s="92" t="s">
        <v>221</v>
      </c>
      <c r="K5" s="41"/>
      <c r="L5" s="41"/>
      <c r="M5" s="41"/>
      <c r="N5" s="41"/>
      <c r="O5" s="41"/>
    </row>
    <row r="6" spans="1:15" ht="18" customHeight="1" x14ac:dyDescent="0.3">
      <c r="A6" s="96">
        <v>1</v>
      </c>
      <c r="B6" s="230" t="s">
        <v>503</v>
      </c>
      <c r="C6" s="14" t="s">
        <v>249</v>
      </c>
      <c r="D6" s="94" t="s">
        <v>272</v>
      </c>
      <c r="E6" s="7"/>
      <c r="F6" s="32"/>
      <c r="G6" s="93" t="s">
        <v>273</v>
      </c>
      <c r="H6" s="94" t="s">
        <v>274</v>
      </c>
      <c r="I6" s="94" t="s">
        <v>275</v>
      </c>
      <c r="J6" s="95" t="s">
        <v>276</v>
      </c>
      <c r="K6" s="41"/>
      <c r="L6" s="41"/>
      <c r="M6" s="41"/>
      <c r="N6" s="41"/>
      <c r="O6" s="41"/>
    </row>
    <row r="7" spans="1:15" s="42" customFormat="1" ht="16.5" customHeight="1" x14ac:dyDescent="0.3">
      <c r="A7" s="97">
        <v>2</v>
      </c>
      <c r="B7" s="230" t="s">
        <v>503</v>
      </c>
      <c r="C7" s="14" t="s">
        <v>249</v>
      </c>
      <c r="D7" s="88" t="s">
        <v>479</v>
      </c>
      <c r="E7" s="7"/>
      <c r="F7" s="32"/>
      <c r="G7" s="91"/>
      <c r="H7" s="56"/>
      <c r="I7" s="56"/>
      <c r="J7" s="92"/>
      <c r="K7" s="41"/>
      <c r="L7" s="41"/>
      <c r="M7" s="41"/>
      <c r="N7" s="41"/>
      <c r="O7" s="41"/>
    </row>
    <row r="8" spans="1:15" s="42" customFormat="1" ht="16.5" customHeight="1" x14ac:dyDescent="0.3">
      <c r="A8" s="96">
        <v>1</v>
      </c>
      <c r="B8" s="230" t="s">
        <v>503</v>
      </c>
      <c r="C8" s="14" t="s">
        <v>249</v>
      </c>
      <c r="D8" s="88" t="s">
        <v>480</v>
      </c>
      <c r="E8" s="7"/>
      <c r="F8" s="32"/>
      <c r="G8" s="91" t="s">
        <v>211</v>
      </c>
      <c r="H8" s="56" t="s">
        <v>222</v>
      </c>
      <c r="I8" s="56" t="s">
        <v>223</v>
      </c>
      <c r="J8" s="92" t="s">
        <v>224</v>
      </c>
      <c r="K8" s="41"/>
      <c r="L8" s="41"/>
      <c r="M8" s="41"/>
      <c r="N8" s="41"/>
      <c r="O8" s="41"/>
    </row>
    <row r="9" spans="1:15" s="42" customFormat="1" ht="16.5" customHeight="1" x14ac:dyDescent="0.3">
      <c r="A9" s="96">
        <v>1</v>
      </c>
      <c r="B9" s="230" t="s">
        <v>503</v>
      </c>
      <c r="C9" s="14" t="s">
        <v>249</v>
      </c>
      <c r="D9" s="88" t="s">
        <v>481</v>
      </c>
      <c r="E9" s="7"/>
      <c r="F9" s="32"/>
      <c r="G9" s="93" t="s">
        <v>211</v>
      </c>
      <c r="H9" s="94" t="s">
        <v>467</v>
      </c>
      <c r="I9" s="94" t="s">
        <v>468</v>
      </c>
      <c r="J9" s="95" t="s">
        <v>469</v>
      </c>
      <c r="K9" s="41"/>
      <c r="L9" s="41"/>
      <c r="M9" s="41"/>
      <c r="N9" s="41"/>
      <c r="O9" s="41"/>
    </row>
    <row r="10" spans="1:15" ht="18" customHeight="1" x14ac:dyDescent="0.3">
      <c r="A10" s="96">
        <v>1</v>
      </c>
      <c r="B10" s="230" t="s">
        <v>503</v>
      </c>
      <c r="C10" s="14" t="s">
        <v>249</v>
      </c>
      <c r="D10" s="88" t="s">
        <v>482</v>
      </c>
      <c r="E10" s="7"/>
      <c r="F10" s="32"/>
      <c r="G10" s="93" t="s">
        <v>211</v>
      </c>
      <c r="H10" s="94" t="s">
        <v>216</v>
      </c>
      <c r="I10" s="94" t="s">
        <v>217</v>
      </c>
      <c r="J10" s="95" t="s">
        <v>218</v>
      </c>
    </row>
    <row r="11" spans="1:15" ht="18" customHeight="1" x14ac:dyDescent="0.3">
      <c r="A11" s="97">
        <v>2</v>
      </c>
      <c r="B11" s="230" t="s">
        <v>503</v>
      </c>
      <c r="C11" s="14" t="s">
        <v>249</v>
      </c>
      <c r="D11" s="36" t="s">
        <v>484</v>
      </c>
      <c r="E11" s="37"/>
      <c r="F11" s="33"/>
      <c r="G11" s="35"/>
      <c r="H11" s="36"/>
      <c r="I11" s="36"/>
      <c r="J11" s="39"/>
    </row>
    <row r="12" spans="1:15" ht="18" customHeight="1" x14ac:dyDescent="0.3">
      <c r="A12" s="98">
        <v>3</v>
      </c>
      <c r="B12" s="230" t="s">
        <v>503</v>
      </c>
      <c r="C12" s="14" t="s">
        <v>249</v>
      </c>
      <c r="D12" s="88" t="s">
        <v>247</v>
      </c>
      <c r="E12" s="7"/>
      <c r="F12" s="32"/>
      <c r="G12" s="91" t="s">
        <v>211</v>
      </c>
      <c r="H12" s="56" t="s">
        <v>254</v>
      </c>
      <c r="I12" s="56" t="s">
        <v>255</v>
      </c>
      <c r="J12" s="92" t="s">
        <v>256</v>
      </c>
    </row>
    <row r="13" spans="1:15" s="42" customFormat="1" ht="18" customHeight="1" x14ac:dyDescent="0.3">
      <c r="A13" s="98">
        <v>3</v>
      </c>
      <c r="B13" s="230" t="s">
        <v>503</v>
      </c>
      <c r="C13" s="14" t="s">
        <v>249</v>
      </c>
      <c r="D13" s="36" t="s">
        <v>463</v>
      </c>
      <c r="E13" s="37" t="s">
        <v>206</v>
      </c>
      <c r="F13" s="33"/>
      <c r="G13" s="35"/>
      <c r="H13" s="36"/>
      <c r="I13" s="36"/>
      <c r="J13" s="39"/>
      <c r="K13" s="41"/>
      <c r="L13" s="41"/>
      <c r="M13" s="41"/>
      <c r="N13" s="41"/>
      <c r="O13" s="41"/>
    </row>
    <row r="14" spans="1:15" ht="18" customHeight="1" x14ac:dyDescent="0.3">
      <c r="A14" s="97">
        <v>2</v>
      </c>
      <c r="B14" s="230" t="s">
        <v>503</v>
      </c>
      <c r="C14" s="14" t="s">
        <v>249</v>
      </c>
      <c r="D14" s="88" t="s">
        <v>225</v>
      </c>
      <c r="E14" s="7"/>
      <c r="F14" s="32"/>
      <c r="G14" s="93" t="s">
        <v>211</v>
      </c>
      <c r="H14" s="94" t="s">
        <v>226</v>
      </c>
      <c r="I14" s="94" t="s">
        <v>227</v>
      </c>
      <c r="J14" s="95" t="s">
        <v>228</v>
      </c>
    </row>
    <row r="15" spans="1:15" s="42" customFormat="1" ht="18" customHeight="1" x14ac:dyDescent="0.3">
      <c r="A15" s="96">
        <v>2</v>
      </c>
      <c r="B15" s="230" t="s">
        <v>503</v>
      </c>
      <c r="C15" s="14" t="s">
        <v>249</v>
      </c>
      <c r="D15" s="36" t="s">
        <v>96</v>
      </c>
      <c r="E15" s="37" t="s">
        <v>206</v>
      </c>
      <c r="F15" s="33"/>
      <c r="G15" s="35"/>
      <c r="H15" s="36"/>
      <c r="I15" s="36"/>
      <c r="J15" s="39"/>
      <c r="K15" s="41"/>
      <c r="L15" s="41"/>
      <c r="M15" s="41"/>
      <c r="N15" s="41"/>
      <c r="O15" s="41"/>
    </row>
    <row r="16" spans="1:15" ht="18" customHeight="1" x14ac:dyDescent="0.3">
      <c r="A16" s="96">
        <v>1</v>
      </c>
      <c r="B16" s="230" t="s">
        <v>503</v>
      </c>
      <c r="C16" s="14" t="s">
        <v>253</v>
      </c>
      <c r="D16" s="94" t="s">
        <v>483</v>
      </c>
      <c r="E16" s="7"/>
      <c r="F16" s="32"/>
      <c r="G16" s="93" t="s">
        <v>207</v>
      </c>
      <c r="H16" s="94" t="s">
        <v>208</v>
      </c>
      <c r="I16" s="94" t="s">
        <v>209</v>
      </c>
      <c r="J16" s="95" t="s">
        <v>210</v>
      </c>
      <c r="K16" s="41"/>
      <c r="L16" s="41"/>
      <c r="M16" s="41"/>
      <c r="N16" s="41"/>
      <c r="O16" s="41"/>
    </row>
    <row r="17" spans="1:15" ht="18" customHeight="1" x14ac:dyDescent="0.3">
      <c r="A17" s="96">
        <v>1</v>
      </c>
      <c r="B17" s="230" t="s">
        <v>503</v>
      </c>
      <c r="C17" s="14" t="s">
        <v>253</v>
      </c>
      <c r="D17" s="94" t="s">
        <v>233</v>
      </c>
      <c r="E17" s="7"/>
      <c r="F17" s="32"/>
      <c r="G17" s="93" t="s">
        <v>234</v>
      </c>
      <c r="H17" s="94" t="s">
        <v>237</v>
      </c>
      <c r="I17" s="94" t="s">
        <v>235</v>
      </c>
      <c r="J17" s="95" t="s">
        <v>236</v>
      </c>
      <c r="K17" s="41"/>
      <c r="L17" s="41"/>
      <c r="M17" s="41"/>
      <c r="N17" s="41"/>
      <c r="O17" s="41"/>
    </row>
    <row r="18" spans="1:15" ht="18" customHeight="1" x14ac:dyDescent="0.3">
      <c r="A18" s="97">
        <v>2</v>
      </c>
      <c r="B18" s="230" t="s">
        <v>503</v>
      </c>
      <c r="C18" s="14" t="s">
        <v>253</v>
      </c>
      <c r="D18" s="94" t="s">
        <v>238</v>
      </c>
      <c r="E18" s="7"/>
      <c r="F18" s="32"/>
      <c r="G18" s="93" t="s">
        <v>239</v>
      </c>
      <c r="H18" s="94" t="s">
        <v>240</v>
      </c>
      <c r="I18" s="94" t="s">
        <v>241</v>
      </c>
      <c r="J18" s="95" t="s">
        <v>242</v>
      </c>
      <c r="K18" s="41"/>
      <c r="L18" s="41"/>
      <c r="M18" s="41"/>
      <c r="N18" s="41"/>
      <c r="O18" s="41"/>
    </row>
    <row r="19" spans="1:15" ht="18" customHeight="1" x14ac:dyDescent="0.3">
      <c r="A19" s="97">
        <v>2</v>
      </c>
      <c r="B19" s="230" t="s">
        <v>503</v>
      </c>
      <c r="C19" s="14" t="s">
        <v>253</v>
      </c>
      <c r="D19" s="88" t="s">
        <v>202</v>
      </c>
      <c r="E19" s="7"/>
      <c r="F19" s="32"/>
      <c r="G19" s="93" t="s">
        <v>211</v>
      </c>
      <c r="H19" s="94" t="s">
        <v>213</v>
      </c>
      <c r="I19" s="94" t="s">
        <v>214</v>
      </c>
      <c r="J19" s="95" t="s">
        <v>215</v>
      </c>
    </row>
    <row r="20" spans="1:15" ht="18" customHeight="1" x14ac:dyDescent="0.3">
      <c r="A20" s="97">
        <v>2</v>
      </c>
      <c r="B20" s="230" t="s">
        <v>503</v>
      </c>
      <c r="C20" s="14" t="s">
        <v>253</v>
      </c>
      <c r="D20" s="88" t="s">
        <v>243</v>
      </c>
      <c r="E20" s="7"/>
      <c r="F20" s="32"/>
      <c r="G20" s="93" t="s">
        <v>211</v>
      </c>
      <c r="H20" s="94" t="s">
        <v>244</v>
      </c>
      <c r="I20" s="94" t="s">
        <v>245</v>
      </c>
      <c r="J20" s="95" t="s">
        <v>246</v>
      </c>
    </row>
    <row r="21" spans="1:15" ht="18" customHeight="1" x14ac:dyDescent="0.3">
      <c r="A21" s="98">
        <v>3</v>
      </c>
      <c r="B21" s="230" t="s">
        <v>503</v>
      </c>
      <c r="C21" s="14" t="s">
        <v>253</v>
      </c>
      <c r="D21" s="88" t="s">
        <v>259</v>
      </c>
      <c r="E21" s="7"/>
      <c r="F21" s="32"/>
      <c r="G21" s="93" t="s">
        <v>211</v>
      </c>
      <c r="H21" s="94" t="s">
        <v>260</v>
      </c>
      <c r="I21" s="94" t="s">
        <v>261</v>
      </c>
      <c r="J21" s="95" t="s">
        <v>262</v>
      </c>
    </row>
    <row r="22" spans="1:15" ht="18" customHeight="1" x14ac:dyDescent="0.3">
      <c r="A22" s="96">
        <v>1</v>
      </c>
      <c r="B22" s="230" t="s">
        <v>503</v>
      </c>
      <c r="C22" s="14" t="s">
        <v>253</v>
      </c>
      <c r="D22" s="88" t="s">
        <v>185</v>
      </c>
      <c r="E22" s="109"/>
      <c r="F22" s="65"/>
      <c r="G22" s="93" t="s">
        <v>211</v>
      </c>
      <c r="H22" s="94"/>
      <c r="I22" s="94"/>
      <c r="J22" s="95" t="s">
        <v>212</v>
      </c>
    </row>
    <row r="23" spans="1:15" ht="18" customHeight="1" x14ac:dyDescent="0.3">
      <c r="A23" s="96">
        <v>1</v>
      </c>
      <c r="B23" s="230" t="s">
        <v>503</v>
      </c>
      <c r="C23" s="14" t="s">
        <v>253</v>
      </c>
      <c r="D23" s="56" t="s">
        <v>60</v>
      </c>
      <c r="E23" s="7"/>
      <c r="F23" s="32"/>
      <c r="G23" s="93" t="s">
        <v>229</v>
      </c>
      <c r="H23" s="94" t="s">
        <v>230</v>
      </c>
      <c r="I23" s="94" t="s">
        <v>231</v>
      </c>
      <c r="J23" s="95" t="s">
        <v>232</v>
      </c>
    </row>
    <row r="24" spans="1:15" ht="18" customHeight="1" x14ac:dyDescent="0.3">
      <c r="A24" s="96">
        <v>1</v>
      </c>
      <c r="B24" s="230" t="s">
        <v>503</v>
      </c>
      <c r="C24" s="14" t="s">
        <v>253</v>
      </c>
      <c r="D24" s="88" t="s">
        <v>148</v>
      </c>
      <c r="E24" s="7"/>
      <c r="F24" s="32"/>
      <c r="G24" s="93" t="s">
        <v>451</v>
      </c>
      <c r="H24" s="94" t="s">
        <v>452</v>
      </c>
      <c r="I24" s="94" t="s">
        <v>453</v>
      </c>
      <c r="J24" s="95" t="s">
        <v>454</v>
      </c>
    </row>
    <row r="25" spans="1:15" ht="18" customHeight="1" x14ac:dyDescent="0.3">
      <c r="A25" s="96">
        <v>1</v>
      </c>
      <c r="B25" s="230" t="s">
        <v>503</v>
      </c>
      <c r="C25" s="14" t="s">
        <v>253</v>
      </c>
      <c r="D25" s="36" t="s">
        <v>186</v>
      </c>
      <c r="E25" s="37"/>
      <c r="F25" s="38"/>
      <c r="G25" s="35"/>
      <c r="H25" s="36"/>
      <c r="I25" s="36"/>
      <c r="J25" s="39"/>
    </row>
    <row r="26" spans="1:15" ht="18" customHeight="1" x14ac:dyDescent="0.3">
      <c r="A26" s="97">
        <v>2</v>
      </c>
      <c r="B26" s="230" t="s">
        <v>503</v>
      </c>
      <c r="C26" s="14" t="s">
        <v>253</v>
      </c>
      <c r="D26" s="88" t="s">
        <v>97</v>
      </c>
      <c r="E26" s="7"/>
      <c r="F26" s="32"/>
      <c r="G26" s="93" t="s">
        <v>211</v>
      </c>
      <c r="H26" s="94"/>
      <c r="I26" s="94"/>
      <c r="J26" s="95" t="s">
        <v>212</v>
      </c>
    </row>
    <row r="27" spans="1:15" ht="18" customHeight="1" x14ac:dyDescent="0.3">
      <c r="A27" s="97">
        <v>2</v>
      </c>
      <c r="B27" s="230" t="s">
        <v>503</v>
      </c>
      <c r="C27" s="14" t="s">
        <v>265</v>
      </c>
      <c r="D27" s="88" t="s">
        <v>141</v>
      </c>
      <c r="E27" s="7"/>
      <c r="F27" s="32"/>
      <c r="G27" s="93" t="s">
        <v>211</v>
      </c>
      <c r="H27" s="94"/>
      <c r="I27" s="94"/>
      <c r="J27" s="95"/>
    </row>
    <row r="28" spans="1:15" ht="18" customHeight="1" x14ac:dyDescent="0.3">
      <c r="A28" s="97">
        <v>2</v>
      </c>
      <c r="B28" s="230" t="s">
        <v>503</v>
      </c>
      <c r="C28" s="14" t="s">
        <v>265</v>
      </c>
      <c r="D28" s="88" t="s">
        <v>142</v>
      </c>
      <c r="E28" s="7"/>
      <c r="F28" s="32"/>
      <c r="G28" s="93" t="s">
        <v>211</v>
      </c>
      <c r="H28" s="94"/>
      <c r="I28" s="94"/>
      <c r="J28" s="95"/>
    </row>
    <row r="29" spans="1:15" ht="18" customHeight="1" x14ac:dyDescent="0.3">
      <c r="A29" s="97">
        <v>2</v>
      </c>
      <c r="B29" s="230" t="s">
        <v>503</v>
      </c>
      <c r="C29" s="14" t="s">
        <v>265</v>
      </c>
      <c r="D29" s="36" t="s">
        <v>187</v>
      </c>
      <c r="E29" s="37"/>
      <c r="F29" s="33"/>
      <c r="G29" s="35"/>
      <c r="H29" s="36"/>
      <c r="I29" s="36"/>
      <c r="J29" s="39"/>
    </row>
    <row r="30" spans="1:15" ht="18" customHeight="1" x14ac:dyDescent="0.3">
      <c r="A30" s="96">
        <v>1</v>
      </c>
      <c r="B30" s="230" t="s">
        <v>503</v>
      </c>
      <c r="C30" s="14" t="s">
        <v>42</v>
      </c>
      <c r="D30" s="56" t="s">
        <v>35</v>
      </c>
      <c r="E30" s="7"/>
      <c r="F30" s="32"/>
      <c r="G30" s="93" t="s">
        <v>211</v>
      </c>
      <c r="H30" s="94"/>
      <c r="I30" s="94"/>
      <c r="J30" s="95" t="s">
        <v>212</v>
      </c>
    </row>
    <row r="31" spans="1:15" ht="18" customHeight="1" x14ac:dyDescent="0.3">
      <c r="A31" s="97">
        <v>2</v>
      </c>
      <c r="B31" s="230" t="s">
        <v>503</v>
      </c>
      <c r="C31" s="14" t="s">
        <v>42</v>
      </c>
      <c r="D31" s="88" t="s">
        <v>49</v>
      </c>
      <c r="E31" s="7" t="s">
        <v>36</v>
      </c>
      <c r="F31" s="32"/>
      <c r="G31" s="93"/>
      <c r="H31" s="94"/>
      <c r="I31" s="94"/>
      <c r="J31" s="95"/>
    </row>
    <row r="32" spans="1:15" ht="18" customHeight="1" x14ac:dyDescent="0.3">
      <c r="A32" s="97">
        <v>2</v>
      </c>
      <c r="B32" s="230" t="s">
        <v>503</v>
      </c>
      <c r="C32" s="14" t="s">
        <v>42</v>
      </c>
      <c r="D32" s="36" t="s">
        <v>61</v>
      </c>
      <c r="E32" s="37" t="s">
        <v>98</v>
      </c>
      <c r="F32" s="33"/>
      <c r="G32" s="35"/>
      <c r="H32" s="36"/>
      <c r="I32" s="36"/>
      <c r="J32" s="39"/>
    </row>
    <row r="33" spans="1:10" ht="18" customHeight="1" x14ac:dyDescent="0.3">
      <c r="A33" s="97">
        <v>2</v>
      </c>
      <c r="B33" s="230" t="s">
        <v>503</v>
      </c>
      <c r="C33" s="14" t="s">
        <v>42</v>
      </c>
      <c r="D33" s="36" t="s">
        <v>99</v>
      </c>
      <c r="E33" s="37"/>
      <c r="F33" s="33"/>
      <c r="G33" s="35"/>
      <c r="H33" s="36"/>
      <c r="I33" s="36"/>
      <c r="J33" s="39"/>
    </row>
    <row r="34" spans="1:10" ht="18" customHeight="1" x14ac:dyDescent="0.3">
      <c r="A34" s="96">
        <v>1</v>
      </c>
      <c r="B34" s="230" t="s">
        <v>503</v>
      </c>
      <c r="C34" s="14" t="s">
        <v>264</v>
      </c>
      <c r="D34" s="94" t="s">
        <v>263</v>
      </c>
      <c r="E34" s="7"/>
      <c r="F34" s="32"/>
      <c r="G34" s="93" t="s">
        <v>266</v>
      </c>
      <c r="H34" s="94" t="s">
        <v>267</v>
      </c>
      <c r="I34" s="94" t="s">
        <v>268</v>
      </c>
      <c r="J34" s="95" t="s">
        <v>269</v>
      </c>
    </row>
    <row r="35" spans="1:10" ht="18" customHeight="1" x14ac:dyDescent="0.3">
      <c r="A35" s="96">
        <v>1</v>
      </c>
      <c r="B35" s="230" t="s">
        <v>503</v>
      </c>
      <c r="C35" s="14" t="s">
        <v>344</v>
      </c>
      <c r="D35" s="94" t="s">
        <v>343</v>
      </c>
      <c r="E35" s="94"/>
      <c r="F35" s="32"/>
      <c r="G35" s="93" t="s">
        <v>211</v>
      </c>
      <c r="H35" s="94" t="s">
        <v>345</v>
      </c>
      <c r="I35" s="94" t="s">
        <v>346</v>
      </c>
      <c r="J35" s="95" t="s">
        <v>347</v>
      </c>
    </row>
    <row r="36" spans="1:10" ht="18" customHeight="1" x14ac:dyDescent="0.3">
      <c r="A36" s="96">
        <v>1</v>
      </c>
      <c r="B36" s="230" t="s">
        <v>503</v>
      </c>
      <c r="C36" s="14" t="s">
        <v>348</v>
      </c>
      <c r="D36" s="94" t="s">
        <v>100</v>
      </c>
      <c r="E36" s="94"/>
      <c r="F36" s="66"/>
      <c r="G36" s="93"/>
      <c r="H36" s="94"/>
      <c r="I36" s="94"/>
      <c r="J36" s="95"/>
    </row>
    <row r="37" spans="1:10" ht="18" customHeight="1" x14ac:dyDescent="0.3">
      <c r="A37" s="96">
        <v>1</v>
      </c>
      <c r="B37" s="230" t="s">
        <v>503</v>
      </c>
      <c r="C37" s="14" t="s">
        <v>348</v>
      </c>
      <c r="D37" s="94" t="s">
        <v>101</v>
      </c>
      <c r="E37" s="94"/>
      <c r="F37" s="66"/>
      <c r="G37" s="93"/>
      <c r="H37" s="94"/>
      <c r="I37" s="94"/>
      <c r="J37" s="95"/>
    </row>
    <row r="38" spans="1:10" ht="18" customHeight="1" thickBot="1" x14ac:dyDescent="0.35">
      <c r="A38" s="96">
        <v>1</v>
      </c>
      <c r="B38" s="230" t="s">
        <v>503</v>
      </c>
      <c r="C38" s="14"/>
      <c r="D38" s="36" t="s">
        <v>270</v>
      </c>
      <c r="E38" s="36"/>
      <c r="F38" s="78"/>
      <c r="G38" s="102"/>
      <c r="H38" s="103"/>
      <c r="I38" s="103"/>
      <c r="J38" s="104"/>
    </row>
  </sheetData>
  <autoFilter ref="A2:J38" xr:uid="{5008B2D5-817F-446D-82EB-24B6BBEC2803}"/>
  <mergeCells count="2">
    <mergeCell ref="G1:J1"/>
    <mergeCell ref="A1:F1"/>
  </mergeCells>
  <phoneticPr fontId="4" type="noConversion"/>
  <conditionalFormatting sqref="A1:B1048576">
    <cfRule type="colorScale" priority="1">
      <colorScale>
        <cfvo type="num" val="1"/>
        <cfvo type="num" val="2"/>
        <cfvo type="num" val="3"/>
        <color theme="9" tint="0.79998168889431442"/>
        <color theme="9" tint="0.39997558519241921"/>
        <color theme="9" tint="-0.499984740745262"/>
      </colorScale>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6"/>
  <sheetViews>
    <sheetView showFormulas="1" showGridLines="0" topLeftCell="A26" zoomScale="90" zoomScaleNormal="90" workbookViewId="0">
      <selection activeCell="A3" sqref="A3:XFD53"/>
    </sheetView>
  </sheetViews>
  <sheetFormatPr defaultColWidth="11.44140625" defaultRowHeight="12.75" customHeight="1" x14ac:dyDescent="0.3"/>
  <cols>
    <col min="1" max="1" width="4" style="115" customWidth="1"/>
    <col min="2" max="2" width="10.5546875" style="115" customWidth="1"/>
    <col min="3" max="3" width="6.5546875" style="120" customWidth="1"/>
    <col min="4" max="4" width="70.44140625" style="128" customWidth="1"/>
    <col min="5" max="5" width="12.77734375" style="19" customWidth="1"/>
    <col min="6" max="6" width="6.77734375" style="16" customWidth="1"/>
    <col min="7" max="7" width="6.44140625" style="158" customWidth="1"/>
    <col min="8" max="8" width="7.5546875" style="128" customWidth="1"/>
    <col min="9" max="9" width="6.77734375" style="128" customWidth="1"/>
    <col min="10" max="10" width="7.77734375" style="128" customWidth="1"/>
    <col min="11" max="11" width="6.77734375" style="16" customWidth="1"/>
    <col min="12" max="12" width="8.21875" style="16" customWidth="1"/>
    <col min="13" max="16384" width="11.44140625" style="16"/>
  </cols>
  <sheetData>
    <row r="1" spans="1:15" s="25" customFormat="1" ht="15.75" customHeight="1" x14ac:dyDescent="0.3">
      <c r="A1" s="349" t="s">
        <v>199</v>
      </c>
      <c r="B1" s="349"/>
      <c r="C1" s="349"/>
      <c r="D1" s="349"/>
      <c r="E1" s="349"/>
      <c r="F1" s="350"/>
      <c r="G1" s="346" t="s">
        <v>200</v>
      </c>
      <c r="H1" s="347"/>
      <c r="I1" s="347"/>
      <c r="J1" s="348"/>
      <c r="K1" s="41"/>
      <c r="L1" s="41"/>
      <c r="M1" s="41"/>
      <c r="N1" s="41"/>
      <c r="O1" s="41"/>
    </row>
    <row r="2" spans="1:15" s="25" customFormat="1" ht="15" customHeight="1" x14ac:dyDescent="0.3">
      <c r="A2" s="115" t="s">
        <v>477</v>
      </c>
      <c r="B2" s="115" t="s">
        <v>502</v>
      </c>
      <c r="C2" s="40" t="s">
        <v>252</v>
      </c>
      <c r="D2" s="106" t="s">
        <v>201</v>
      </c>
      <c r="E2" s="45" t="s">
        <v>181</v>
      </c>
      <c r="F2" s="43" t="s">
        <v>198</v>
      </c>
      <c r="G2" s="99">
        <v>1</v>
      </c>
      <c r="H2" s="100">
        <v>2</v>
      </c>
      <c r="I2" s="100">
        <v>3</v>
      </c>
      <c r="J2" s="101">
        <v>4</v>
      </c>
      <c r="K2" s="49">
        <v>5</v>
      </c>
      <c r="L2" s="49">
        <v>6</v>
      </c>
      <c r="M2" s="41"/>
      <c r="N2" s="41"/>
      <c r="O2" s="41"/>
    </row>
    <row r="3" spans="1:15" ht="15" customHeight="1" x14ac:dyDescent="0.3">
      <c r="A3" s="164">
        <v>1</v>
      </c>
      <c r="B3" s="229" t="s">
        <v>504</v>
      </c>
      <c r="C3" s="47" t="s">
        <v>39</v>
      </c>
      <c r="D3" s="27" t="s">
        <v>271</v>
      </c>
      <c r="E3" s="3"/>
      <c r="F3" s="67" t="s">
        <v>277</v>
      </c>
      <c r="G3" s="129"/>
      <c r="H3" s="130"/>
      <c r="I3" s="130"/>
      <c r="J3" s="131"/>
    </row>
    <row r="4" spans="1:15" ht="15" customHeight="1" x14ac:dyDescent="0.3">
      <c r="A4" s="164">
        <v>1</v>
      </c>
      <c r="B4" s="229" t="s">
        <v>504</v>
      </c>
      <c r="C4" s="47" t="s">
        <v>28</v>
      </c>
      <c r="D4" s="121" t="s">
        <v>0</v>
      </c>
      <c r="E4" s="3" t="s">
        <v>289</v>
      </c>
      <c r="F4" s="67" t="s">
        <v>277</v>
      </c>
      <c r="G4" s="129"/>
      <c r="H4" s="130"/>
      <c r="I4" s="130"/>
      <c r="J4" s="131"/>
    </row>
    <row r="5" spans="1:15" ht="15" customHeight="1" x14ac:dyDescent="0.3">
      <c r="A5" s="164">
        <v>1</v>
      </c>
      <c r="B5" s="229" t="s">
        <v>504</v>
      </c>
      <c r="C5" s="47" t="s">
        <v>28</v>
      </c>
      <c r="D5" s="121" t="s">
        <v>177</v>
      </c>
      <c r="E5" s="3" t="s">
        <v>289</v>
      </c>
      <c r="F5" s="67" t="s">
        <v>277</v>
      </c>
      <c r="G5" s="129"/>
      <c r="H5" s="130"/>
      <c r="I5" s="130"/>
      <c r="J5" s="131"/>
    </row>
    <row r="6" spans="1:15" ht="15" customHeight="1" x14ac:dyDescent="0.3">
      <c r="A6" s="164">
        <v>2</v>
      </c>
      <c r="B6" s="229" t="s">
        <v>504</v>
      </c>
      <c r="C6" s="47" t="s">
        <v>28</v>
      </c>
      <c r="D6" s="122" t="s">
        <v>178</v>
      </c>
      <c r="E6" s="3" t="s">
        <v>289</v>
      </c>
      <c r="F6" s="67" t="s">
        <v>277</v>
      </c>
      <c r="G6" s="129"/>
      <c r="H6" s="130"/>
      <c r="I6" s="130"/>
      <c r="J6" s="131"/>
    </row>
    <row r="7" spans="1:15" ht="15" customHeight="1" x14ac:dyDescent="0.3">
      <c r="A7" s="165">
        <v>3</v>
      </c>
      <c r="B7" s="229" t="s">
        <v>504</v>
      </c>
      <c r="C7" s="47" t="s">
        <v>28</v>
      </c>
      <c r="D7" s="122" t="s">
        <v>179</v>
      </c>
      <c r="E7" s="3" t="s">
        <v>289</v>
      </c>
      <c r="F7" s="67" t="s">
        <v>277</v>
      </c>
      <c r="G7" s="129"/>
      <c r="H7" s="130"/>
      <c r="I7" s="130"/>
      <c r="J7" s="131"/>
    </row>
    <row r="8" spans="1:15" ht="15" customHeight="1" x14ac:dyDescent="0.3">
      <c r="A8" s="164">
        <v>1</v>
      </c>
      <c r="B8" s="229" t="s">
        <v>504</v>
      </c>
      <c r="C8" s="47" t="s">
        <v>28</v>
      </c>
      <c r="D8" s="122" t="s">
        <v>180</v>
      </c>
      <c r="E8" s="3" t="s">
        <v>289</v>
      </c>
      <c r="F8" s="67" t="s">
        <v>277</v>
      </c>
      <c r="G8" s="129"/>
      <c r="H8" s="130"/>
      <c r="I8" s="130"/>
      <c r="J8" s="131"/>
    </row>
    <row r="9" spans="1:15" ht="15" customHeight="1" x14ac:dyDescent="0.3">
      <c r="A9" s="166">
        <v>3</v>
      </c>
      <c r="B9" s="229" t="s">
        <v>504</v>
      </c>
      <c r="C9" s="47" t="s">
        <v>28</v>
      </c>
      <c r="D9" s="122" t="s">
        <v>176</v>
      </c>
      <c r="E9" s="3" t="s">
        <v>289</v>
      </c>
      <c r="F9" s="67" t="s">
        <v>277</v>
      </c>
      <c r="G9" s="129"/>
      <c r="H9" s="130"/>
      <c r="I9" s="130"/>
      <c r="J9" s="131"/>
    </row>
    <row r="10" spans="1:15" ht="15" customHeight="1" x14ac:dyDescent="0.3">
      <c r="A10" s="166">
        <v>3</v>
      </c>
      <c r="B10" s="229" t="s">
        <v>504</v>
      </c>
      <c r="C10" s="47" t="s">
        <v>28</v>
      </c>
      <c r="D10" s="122" t="s">
        <v>488</v>
      </c>
      <c r="E10" s="3" t="s">
        <v>289</v>
      </c>
      <c r="F10" s="67" t="s">
        <v>277</v>
      </c>
      <c r="G10" s="129"/>
      <c r="H10" s="130"/>
      <c r="I10" s="130"/>
      <c r="J10" s="131"/>
    </row>
    <row r="11" spans="1:15" ht="15" customHeight="1" x14ac:dyDescent="0.3">
      <c r="A11" s="164">
        <v>1</v>
      </c>
      <c r="B11" s="229" t="s">
        <v>504</v>
      </c>
      <c r="C11" s="47" t="s">
        <v>28</v>
      </c>
      <c r="D11" s="122" t="s">
        <v>175</v>
      </c>
      <c r="E11" s="3" t="s">
        <v>289</v>
      </c>
      <c r="F11" s="67" t="s">
        <v>277</v>
      </c>
      <c r="G11" s="129"/>
      <c r="H11" s="130"/>
      <c r="I11" s="130"/>
      <c r="J11" s="131"/>
    </row>
    <row r="12" spans="1:15" ht="15" customHeight="1" x14ac:dyDescent="0.3">
      <c r="A12" s="167">
        <v>2</v>
      </c>
      <c r="B12" s="229" t="s">
        <v>504</v>
      </c>
      <c r="C12" s="47" t="s">
        <v>28</v>
      </c>
      <c r="D12" s="122" t="s">
        <v>174</v>
      </c>
      <c r="E12" s="3" t="s">
        <v>289</v>
      </c>
      <c r="F12" s="67" t="s">
        <v>277</v>
      </c>
      <c r="G12" s="129"/>
      <c r="H12" s="130"/>
      <c r="I12" s="130"/>
      <c r="J12" s="131"/>
    </row>
    <row r="13" spans="1:15" ht="15" customHeight="1" x14ac:dyDescent="0.3">
      <c r="A13" s="168">
        <v>2</v>
      </c>
      <c r="B13" s="229" t="s">
        <v>504</v>
      </c>
      <c r="C13" s="47" t="s">
        <v>28</v>
      </c>
      <c r="D13" s="122" t="s">
        <v>133</v>
      </c>
      <c r="E13" s="3" t="s">
        <v>160</v>
      </c>
      <c r="F13" s="67" t="s">
        <v>277</v>
      </c>
      <c r="G13" s="129"/>
      <c r="H13" s="130"/>
      <c r="I13" s="130"/>
      <c r="J13" s="131"/>
    </row>
    <row r="14" spans="1:15" ht="15" customHeight="1" x14ac:dyDescent="0.3">
      <c r="A14" s="168">
        <v>1</v>
      </c>
      <c r="B14" s="229" t="s">
        <v>504</v>
      </c>
      <c r="C14" s="47" t="s">
        <v>28</v>
      </c>
      <c r="D14" s="121" t="s">
        <v>150</v>
      </c>
      <c r="E14" s="3" t="s">
        <v>3</v>
      </c>
      <c r="F14" s="67" t="s">
        <v>277</v>
      </c>
      <c r="G14" s="129"/>
      <c r="H14" s="130"/>
      <c r="I14" s="130"/>
      <c r="J14" s="131"/>
    </row>
    <row r="15" spans="1:15" ht="15" customHeight="1" x14ac:dyDescent="0.3">
      <c r="A15" s="169">
        <v>1</v>
      </c>
      <c r="B15" s="229" t="s">
        <v>504</v>
      </c>
      <c r="C15" s="47" t="s">
        <v>28</v>
      </c>
      <c r="D15" s="121" t="s">
        <v>1</v>
      </c>
      <c r="E15" s="3" t="s">
        <v>3</v>
      </c>
      <c r="F15" s="67" t="s">
        <v>277</v>
      </c>
      <c r="G15" s="129"/>
      <c r="H15" s="130"/>
      <c r="I15" s="130"/>
      <c r="J15" s="131"/>
    </row>
    <row r="16" spans="1:15" ht="15" customHeight="1" x14ac:dyDescent="0.3">
      <c r="A16" s="166">
        <v>3</v>
      </c>
      <c r="B16" s="229" t="s">
        <v>504</v>
      </c>
      <c r="C16" s="47" t="s">
        <v>28</v>
      </c>
      <c r="D16" s="122" t="s">
        <v>2</v>
      </c>
      <c r="E16" s="3" t="s">
        <v>4</v>
      </c>
      <c r="F16" s="67" t="s">
        <v>277</v>
      </c>
      <c r="G16" s="129"/>
      <c r="H16" s="130"/>
      <c r="I16" s="130"/>
      <c r="J16" s="131"/>
    </row>
    <row r="17" spans="1:12" ht="15" customHeight="1" x14ac:dyDescent="0.3">
      <c r="A17" s="164">
        <v>1</v>
      </c>
      <c r="B17" s="229" t="s">
        <v>504</v>
      </c>
      <c r="C17" s="47" t="s">
        <v>28</v>
      </c>
      <c r="D17" s="121" t="s">
        <v>183</v>
      </c>
      <c r="E17" s="3" t="s">
        <v>289</v>
      </c>
      <c r="F17" s="67" t="s">
        <v>277</v>
      </c>
      <c r="G17" s="132"/>
      <c r="H17" s="130"/>
      <c r="I17" s="130"/>
      <c r="J17" s="131"/>
    </row>
    <row r="18" spans="1:12" ht="15" customHeight="1" x14ac:dyDescent="0.3">
      <c r="A18" s="164">
        <v>1</v>
      </c>
      <c r="B18" s="229" t="s">
        <v>504</v>
      </c>
      <c r="C18" s="47" t="s">
        <v>28</v>
      </c>
      <c r="D18" s="121" t="s">
        <v>458</v>
      </c>
      <c r="E18" s="3"/>
      <c r="F18" s="67"/>
      <c r="G18" s="133" t="s">
        <v>459</v>
      </c>
      <c r="H18" s="27" t="s">
        <v>460</v>
      </c>
      <c r="I18" s="27" t="s">
        <v>461</v>
      </c>
      <c r="J18" s="134" t="s">
        <v>462</v>
      </c>
    </row>
    <row r="19" spans="1:12" ht="15" customHeight="1" x14ac:dyDescent="0.3">
      <c r="A19" s="169">
        <v>1</v>
      </c>
      <c r="B19" s="229" t="s">
        <v>504</v>
      </c>
      <c r="C19" s="47" t="s">
        <v>28</v>
      </c>
      <c r="D19" s="123" t="s">
        <v>486</v>
      </c>
      <c r="E19" s="50"/>
      <c r="F19" s="68"/>
      <c r="G19" s="135"/>
      <c r="H19" s="123"/>
      <c r="I19" s="123"/>
      <c r="J19" s="136"/>
    </row>
    <row r="20" spans="1:12" ht="15" customHeight="1" x14ac:dyDescent="0.3">
      <c r="A20" s="169">
        <v>1</v>
      </c>
      <c r="B20" s="229" t="s">
        <v>504</v>
      </c>
      <c r="C20" s="47" t="s">
        <v>27</v>
      </c>
      <c r="D20" s="121" t="s">
        <v>301</v>
      </c>
      <c r="E20" s="3"/>
      <c r="F20" s="67" t="s">
        <v>277</v>
      </c>
      <c r="G20" s="137" t="s">
        <v>278</v>
      </c>
      <c r="H20" s="122" t="s">
        <v>279</v>
      </c>
      <c r="I20" s="122" t="s">
        <v>280</v>
      </c>
      <c r="J20" s="138" t="s">
        <v>281</v>
      </c>
      <c r="K20" s="16" t="s">
        <v>282</v>
      </c>
      <c r="L20" s="16" t="s">
        <v>283</v>
      </c>
    </row>
    <row r="21" spans="1:12" ht="15" customHeight="1" x14ac:dyDescent="0.3">
      <c r="A21" s="169">
        <v>1</v>
      </c>
      <c r="B21" s="229" t="s">
        <v>504</v>
      </c>
      <c r="C21" s="47" t="s">
        <v>27</v>
      </c>
      <c r="D21" s="121" t="s">
        <v>300</v>
      </c>
      <c r="E21" s="3"/>
      <c r="F21" s="67" t="s">
        <v>277</v>
      </c>
      <c r="G21" s="137" t="s">
        <v>278</v>
      </c>
      <c r="H21" s="122" t="s">
        <v>279</v>
      </c>
      <c r="I21" s="122" t="s">
        <v>280</v>
      </c>
      <c r="J21" s="138" t="s">
        <v>281</v>
      </c>
      <c r="K21" s="16" t="s">
        <v>282</v>
      </c>
      <c r="L21" s="16" t="s">
        <v>283</v>
      </c>
    </row>
    <row r="22" spans="1:12" ht="15" customHeight="1" x14ac:dyDescent="0.3">
      <c r="A22" s="168">
        <v>2</v>
      </c>
      <c r="B22" s="229" t="s">
        <v>504</v>
      </c>
      <c r="C22" s="47" t="s">
        <v>27</v>
      </c>
      <c r="D22" s="122" t="s">
        <v>302</v>
      </c>
      <c r="E22" s="3"/>
      <c r="F22" s="67" t="s">
        <v>277</v>
      </c>
      <c r="G22" s="137" t="s">
        <v>278</v>
      </c>
      <c r="H22" s="122" t="s">
        <v>279</v>
      </c>
      <c r="I22" s="122" t="s">
        <v>280</v>
      </c>
      <c r="J22" s="138" t="s">
        <v>281</v>
      </c>
      <c r="K22" s="16" t="s">
        <v>282</v>
      </c>
      <c r="L22" s="16" t="s">
        <v>283</v>
      </c>
    </row>
    <row r="23" spans="1:12" ht="15" customHeight="1" x14ac:dyDescent="0.3">
      <c r="A23" s="164">
        <v>2</v>
      </c>
      <c r="B23" s="229" t="s">
        <v>504</v>
      </c>
      <c r="C23" s="47" t="s">
        <v>27</v>
      </c>
      <c r="D23" s="121" t="s">
        <v>303</v>
      </c>
      <c r="E23" s="3"/>
      <c r="F23" s="67" t="s">
        <v>277</v>
      </c>
      <c r="G23" s="137" t="s">
        <v>278</v>
      </c>
      <c r="H23" s="122" t="s">
        <v>279</v>
      </c>
      <c r="I23" s="122" t="s">
        <v>280</v>
      </c>
      <c r="J23" s="138" t="s">
        <v>281</v>
      </c>
      <c r="K23" s="16" t="s">
        <v>282</v>
      </c>
      <c r="L23" s="16" t="s">
        <v>283</v>
      </c>
    </row>
    <row r="24" spans="1:12" ht="15" customHeight="1" x14ac:dyDescent="0.3">
      <c r="A24" s="164">
        <v>2</v>
      </c>
      <c r="B24" s="229" t="s">
        <v>504</v>
      </c>
      <c r="C24" s="47" t="s">
        <v>27</v>
      </c>
      <c r="D24" s="121" t="s">
        <v>305</v>
      </c>
      <c r="E24" s="3"/>
      <c r="F24" s="67" t="s">
        <v>277</v>
      </c>
      <c r="G24" s="137" t="s">
        <v>278</v>
      </c>
      <c r="H24" s="122" t="s">
        <v>279</v>
      </c>
      <c r="I24" s="122" t="s">
        <v>280</v>
      </c>
      <c r="J24" s="138" t="s">
        <v>281</v>
      </c>
      <c r="K24" s="16" t="s">
        <v>282</v>
      </c>
      <c r="L24" s="16" t="s">
        <v>283</v>
      </c>
    </row>
    <row r="25" spans="1:12" ht="15" customHeight="1" x14ac:dyDescent="0.3">
      <c r="A25" s="164">
        <v>2</v>
      </c>
      <c r="B25" s="229" t="s">
        <v>504</v>
      </c>
      <c r="C25" s="47" t="s">
        <v>27</v>
      </c>
      <c r="D25" s="122" t="s">
        <v>304</v>
      </c>
      <c r="E25" s="3"/>
      <c r="F25" s="67" t="s">
        <v>277</v>
      </c>
      <c r="G25" s="137" t="s">
        <v>278</v>
      </c>
      <c r="H25" s="122" t="s">
        <v>279</v>
      </c>
      <c r="I25" s="122" t="s">
        <v>280</v>
      </c>
      <c r="J25" s="138" t="s">
        <v>281</v>
      </c>
      <c r="K25" s="16" t="s">
        <v>282</v>
      </c>
      <c r="L25" s="16" t="s">
        <v>283</v>
      </c>
    </row>
    <row r="26" spans="1:12" ht="15" customHeight="1" x14ac:dyDescent="0.3">
      <c r="A26" s="166">
        <v>3</v>
      </c>
      <c r="B26" s="229" t="s">
        <v>504</v>
      </c>
      <c r="C26" s="47" t="s">
        <v>27</v>
      </c>
      <c r="D26" s="122" t="s">
        <v>306</v>
      </c>
      <c r="E26" s="3"/>
      <c r="F26" s="67" t="s">
        <v>277</v>
      </c>
      <c r="G26" s="137" t="s">
        <v>278</v>
      </c>
      <c r="H26" s="122" t="s">
        <v>279</v>
      </c>
      <c r="I26" s="122" t="s">
        <v>280</v>
      </c>
      <c r="J26" s="138" t="s">
        <v>281</v>
      </c>
      <c r="K26" s="16" t="s">
        <v>282</v>
      </c>
      <c r="L26" s="16" t="s">
        <v>283</v>
      </c>
    </row>
    <row r="27" spans="1:12" ht="15" customHeight="1" x14ac:dyDescent="0.3">
      <c r="A27" s="165">
        <v>3</v>
      </c>
      <c r="B27" s="229" t="s">
        <v>504</v>
      </c>
      <c r="C27" s="47" t="s">
        <v>27</v>
      </c>
      <c r="D27" s="122" t="s">
        <v>487</v>
      </c>
      <c r="E27" s="3"/>
      <c r="F27" s="67" t="s">
        <v>277</v>
      </c>
      <c r="G27" s="137" t="s">
        <v>278</v>
      </c>
      <c r="H27" s="122" t="s">
        <v>279</v>
      </c>
      <c r="I27" s="122" t="s">
        <v>280</v>
      </c>
      <c r="J27" s="138" t="s">
        <v>281</v>
      </c>
      <c r="K27" s="16" t="s">
        <v>282</v>
      </c>
      <c r="L27" s="16" t="s">
        <v>283</v>
      </c>
    </row>
    <row r="28" spans="1:12" ht="15" customHeight="1" x14ac:dyDescent="0.3">
      <c r="A28" s="165">
        <v>3</v>
      </c>
      <c r="B28" s="229" t="s">
        <v>504</v>
      </c>
      <c r="C28" s="47" t="s">
        <v>27</v>
      </c>
      <c r="D28" s="122" t="s">
        <v>307</v>
      </c>
      <c r="E28" s="3"/>
      <c r="F28" s="67" t="s">
        <v>277</v>
      </c>
      <c r="G28" s="137" t="s">
        <v>278</v>
      </c>
      <c r="H28" s="122" t="s">
        <v>279</v>
      </c>
      <c r="I28" s="122" t="s">
        <v>280</v>
      </c>
      <c r="J28" s="138" t="s">
        <v>281</v>
      </c>
      <c r="K28" s="16" t="s">
        <v>282</v>
      </c>
      <c r="L28" s="16" t="s">
        <v>283</v>
      </c>
    </row>
    <row r="29" spans="1:12" ht="15" customHeight="1" x14ac:dyDescent="0.3">
      <c r="A29" s="169">
        <v>1</v>
      </c>
      <c r="B29" s="229" t="s">
        <v>504</v>
      </c>
      <c r="C29" s="54" t="s">
        <v>34</v>
      </c>
      <c r="D29" s="29" t="s">
        <v>79</v>
      </c>
      <c r="E29" s="3"/>
      <c r="F29" s="67" t="s">
        <v>277</v>
      </c>
      <c r="G29" s="137" t="s">
        <v>211</v>
      </c>
      <c r="H29" s="122" t="s">
        <v>286</v>
      </c>
      <c r="I29" s="122" t="s">
        <v>287</v>
      </c>
      <c r="J29" s="138" t="s">
        <v>288</v>
      </c>
    </row>
    <row r="30" spans="1:12" ht="15" customHeight="1" x14ac:dyDescent="0.3">
      <c r="A30" s="160">
        <v>3</v>
      </c>
      <c r="B30" s="229" t="s">
        <v>504</v>
      </c>
      <c r="C30" s="54" t="s">
        <v>34</v>
      </c>
      <c r="D30" s="79" t="s">
        <v>489</v>
      </c>
      <c r="E30" s="50" t="s">
        <v>173</v>
      </c>
      <c r="F30" s="68" t="s">
        <v>277</v>
      </c>
      <c r="G30" s="139"/>
      <c r="H30" s="123"/>
      <c r="I30" s="123"/>
      <c r="J30" s="136"/>
    </row>
    <row r="31" spans="1:12" ht="15" customHeight="1" x14ac:dyDescent="0.3">
      <c r="A31" s="160">
        <v>3</v>
      </c>
      <c r="B31" s="229" t="s">
        <v>504</v>
      </c>
      <c r="C31" s="54" t="s">
        <v>34</v>
      </c>
      <c r="D31" s="79" t="s">
        <v>290</v>
      </c>
      <c r="E31" s="50" t="s">
        <v>173</v>
      </c>
      <c r="F31" s="68" t="s">
        <v>277</v>
      </c>
      <c r="G31" s="140"/>
      <c r="H31" s="123"/>
      <c r="I31" s="123"/>
      <c r="J31" s="136"/>
    </row>
    <row r="32" spans="1:12" ht="15" customHeight="1" x14ac:dyDescent="0.3">
      <c r="A32" s="160">
        <v>3</v>
      </c>
      <c r="B32" s="229" t="s">
        <v>504</v>
      </c>
      <c r="C32" s="54" t="s">
        <v>34</v>
      </c>
      <c r="D32" s="124" t="s">
        <v>464</v>
      </c>
      <c r="E32" s="3"/>
      <c r="F32" s="67"/>
      <c r="G32" s="141" t="s">
        <v>465</v>
      </c>
      <c r="H32" s="142" t="s">
        <v>466</v>
      </c>
      <c r="I32" s="142"/>
      <c r="J32" s="143"/>
    </row>
    <row r="33" spans="1:10" ht="15" customHeight="1" x14ac:dyDescent="0.3">
      <c r="A33" s="160">
        <v>3</v>
      </c>
      <c r="B33" s="229" t="s">
        <v>504</v>
      </c>
      <c r="C33" s="54" t="s">
        <v>34</v>
      </c>
      <c r="D33" s="124" t="s">
        <v>485</v>
      </c>
      <c r="E33" s="3"/>
      <c r="F33" s="67"/>
      <c r="G33" s="141" t="s">
        <v>291</v>
      </c>
      <c r="H33" s="142" t="s">
        <v>292</v>
      </c>
      <c r="I33" s="142" t="s">
        <v>293</v>
      </c>
      <c r="J33" s="143" t="s">
        <v>294</v>
      </c>
    </row>
    <row r="34" spans="1:10" ht="15" customHeight="1" x14ac:dyDescent="0.3">
      <c r="A34" s="162">
        <v>1</v>
      </c>
      <c r="B34" s="229" t="s">
        <v>504</v>
      </c>
      <c r="C34" s="54" t="s">
        <v>34</v>
      </c>
      <c r="D34" s="124" t="s">
        <v>295</v>
      </c>
      <c r="E34" s="3"/>
      <c r="F34" s="67"/>
      <c r="G34" s="141" t="s">
        <v>291</v>
      </c>
      <c r="H34" s="142" t="s">
        <v>292</v>
      </c>
      <c r="I34" s="142" t="s">
        <v>293</v>
      </c>
      <c r="J34" s="143" t="s">
        <v>294</v>
      </c>
    </row>
    <row r="35" spans="1:10" ht="29.1" customHeight="1" x14ac:dyDescent="0.3">
      <c r="A35" s="159">
        <v>2</v>
      </c>
      <c r="B35" s="229" t="s">
        <v>504</v>
      </c>
      <c r="C35" s="54" t="s">
        <v>34</v>
      </c>
      <c r="D35" s="124" t="s">
        <v>161</v>
      </c>
      <c r="E35" s="3" t="s">
        <v>37</v>
      </c>
      <c r="F35" s="67" t="s">
        <v>277</v>
      </c>
      <c r="G35" s="141" t="s">
        <v>291</v>
      </c>
      <c r="H35" s="142" t="s">
        <v>292</v>
      </c>
      <c r="I35" s="142" t="s">
        <v>293</v>
      </c>
      <c r="J35" s="143" t="s">
        <v>294</v>
      </c>
    </row>
    <row r="36" spans="1:10" ht="15" customHeight="1" x14ac:dyDescent="0.3">
      <c r="A36" s="159">
        <v>2</v>
      </c>
      <c r="B36" s="229" t="s">
        <v>504</v>
      </c>
      <c r="C36" s="117" t="s">
        <v>34</v>
      </c>
      <c r="D36" s="125" t="s">
        <v>162</v>
      </c>
      <c r="E36" s="51" t="s">
        <v>173</v>
      </c>
      <c r="F36" s="69" t="s">
        <v>277</v>
      </c>
      <c r="G36" s="144"/>
      <c r="H36" s="145"/>
      <c r="I36" s="146"/>
      <c r="J36" s="147"/>
    </row>
    <row r="37" spans="1:10" customFormat="1" ht="15" customHeight="1" x14ac:dyDescent="0.3">
      <c r="A37" s="159">
        <v>1</v>
      </c>
      <c r="B37" s="229" t="s">
        <v>504</v>
      </c>
      <c r="C37" s="118" t="s">
        <v>34</v>
      </c>
      <c r="D37" s="126" t="s">
        <v>296</v>
      </c>
      <c r="E37" s="53"/>
      <c r="F37" s="70"/>
      <c r="G37" s="148" t="s">
        <v>211</v>
      </c>
      <c r="H37" s="149" t="s">
        <v>297</v>
      </c>
      <c r="I37" s="149" t="s">
        <v>298</v>
      </c>
      <c r="J37" s="150" t="s">
        <v>299</v>
      </c>
    </row>
    <row r="38" spans="1:10" customFormat="1" ht="15" customHeight="1" x14ac:dyDescent="0.3">
      <c r="A38" s="159">
        <v>1</v>
      </c>
      <c r="B38" s="229" t="s">
        <v>504</v>
      </c>
      <c r="C38" s="118" t="s">
        <v>34</v>
      </c>
      <c r="D38" s="126" t="s">
        <v>195</v>
      </c>
      <c r="E38" s="53"/>
      <c r="F38" s="70"/>
      <c r="G38" s="148" t="s">
        <v>211</v>
      </c>
      <c r="H38" s="149"/>
      <c r="I38" s="149"/>
      <c r="J38" s="150"/>
    </row>
    <row r="39" spans="1:10" ht="15" customHeight="1" x14ac:dyDescent="0.3">
      <c r="A39" s="161">
        <v>3</v>
      </c>
      <c r="B39" s="229" t="s">
        <v>504</v>
      </c>
      <c r="C39" s="118" t="s">
        <v>34</v>
      </c>
      <c r="D39" s="163" t="s">
        <v>167</v>
      </c>
      <c r="E39" s="52" t="s">
        <v>5</v>
      </c>
      <c r="F39" s="71" t="s">
        <v>277</v>
      </c>
      <c r="G39" s="151"/>
      <c r="H39" s="152"/>
      <c r="I39" s="153"/>
      <c r="J39" s="154"/>
    </row>
    <row r="40" spans="1:10" ht="15" customHeight="1" x14ac:dyDescent="0.3">
      <c r="A40" s="161">
        <v>3</v>
      </c>
      <c r="B40" s="229" t="s">
        <v>504</v>
      </c>
      <c r="C40" s="54" t="s">
        <v>34</v>
      </c>
      <c r="D40" s="126" t="s">
        <v>168</v>
      </c>
      <c r="E40" s="3" t="s">
        <v>5</v>
      </c>
      <c r="F40" s="67" t="s">
        <v>277</v>
      </c>
      <c r="G40" s="137"/>
      <c r="H40" s="152"/>
      <c r="I40" s="122"/>
      <c r="J40" s="138"/>
    </row>
    <row r="41" spans="1:10" ht="15" customHeight="1" x14ac:dyDescent="0.3">
      <c r="A41" s="111">
        <v>3</v>
      </c>
      <c r="B41" s="229" t="s">
        <v>504</v>
      </c>
      <c r="C41" s="54" t="s">
        <v>34</v>
      </c>
      <c r="D41" s="126" t="s">
        <v>169</v>
      </c>
      <c r="E41" s="3" t="s">
        <v>5</v>
      </c>
      <c r="F41" s="67" t="s">
        <v>277</v>
      </c>
      <c r="G41" s="137"/>
      <c r="H41" s="122"/>
      <c r="I41" s="122"/>
      <c r="J41" s="138"/>
    </row>
    <row r="42" spans="1:10" ht="15" customHeight="1" x14ac:dyDescent="0.3">
      <c r="A42" s="44">
        <v>2</v>
      </c>
      <c r="B42" s="229" t="s">
        <v>504</v>
      </c>
      <c r="C42" s="54" t="s">
        <v>34</v>
      </c>
      <c r="D42" s="124" t="s">
        <v>130</v>
      </c>
      <c r="E42" s="3" t="s">
        <v>173</v>
      </c>
      <c r="F42" s="67" t="s">
        <v>277</v>
      </c>
      <c r="G42" s="137"/>
      <c r="H42" s="122"/>
      <c r="I42" s="122"/>
      <c r="J42" s="138"/>
    </row>
    <row r="43" spans="1:10" ht="15" customHeight="1" x14ac:dyDescent="0.3">
      <c r="A43" s="44">
        <v>2</v>
      </c>
      <c r="B43" s="229" t="s">
        <v>504</v>
      </c>
      <c r="C43" s="47" t="s">
        <v>66</v>
      </c>
      <c r="D43" s="121" t="s">
        <v>134</v>
      </c>
      <c r="E43" s="3" t="s">
        <v>6</v>
      </c>
      <c r="F43" s="67" t="s">
        <v>277</v>
      </c>
      <c r="G43" s="137"/>
      <c r="H43" s="122"/>
      <c r="I43" s="122"/>
      <c r="J43" s="138"/>
    </row>
    <row r="44" spans="1:10" ht="15" customHeight="1" x14ac:dyDescent="0.3">
      <c r="A44" s="44">
        <v>1</v>
      </c>
      <c r="B44" s="229" t="s">
        <v>504</v>
      </c>
      <c r="C44" s="47" t="s">
        <v>66</v>
      </c>
      <c r="D44" s="122" t="s">
        <v>7</v>
      </c>
      <c r="E44" s="3" t="s">
        <v>41</v>
      </c>
      <c r="F44" s="67" t="s">
        <v>277</v>
      </c>
      <c r="G44" s="137"/>
      <c r="H44" s="122"/>
      <c r="I44" s="122"/>
      <c r="J44" s="138"/>
    </row>
    <row r="45" spans="1:10" ht="15" customHeight="1" x14ac:dyDescent="0.3">
      <c r="A45" s="44">
        <v>1</v>
      </c>
      <c r="B45" s="229" t="s">
        <v>504</v>
      </c>
      <c r="C45" s="47" t="s">
        <v>66</v>
      </c>
      <c r="D45" s="122" t="s">
        <v>8</v>
      </c>
      <c r="E45" s="3"/>
      <c r="F45" s="67" t="s">
        <v>277</v>
      </c>
      <c r="G45" s="137" t="s">
        <v>308</v>
      </c>
      <c r="H45" s="122"/>
      <c r="I45" s="122"/>
      <c r="J45" s="138"/>
    </row>
    <row r="46" spans="1:10" ht="15" customHeight="1" x14ac:dyDescent="0.3">
      <c r="A46" s="116">
        <v>3</v>
      </c>
      <c r="B46" s="229" t="s">
        <v>504</v>
      </c>
      <c r="C46" s="47" t="s">
        <v>66</v>
      </c>
      <c r="D46" s="122" t="s">
        <v>80</v>
      </c>
      <c r="E46" s="3" t="s">
        <v>9</v>
      </c>
      <c r="F46" s="67" t="s">
        <v>277</v>
      </c>
      <c r="G46" s="137"/>
      <c r="H46" s="122"/>
      <c r="I46" s="122"/>
      <c r="J46" s="138"/>
    </row>
    <row r="47" spans="1:10" ht="15" customHeight="1" x14ac:dyDescent="0.3">
      <c r="A47" s="44">
        <v>2</v>
      </c>
      <c r="B47" s="229" t="s">
        <v>504</v>
      </c>
      <c r="C47" s="47" t="s">
        <v>66</v>
      </c>
      <c r="D47" s="122" t="s">
        <v>81</v>
      </c>
      <c r="E47" s="3"/>
      <c r="F47" s="67" t="s">
        <v>277</v>
      </c>
      <c r="G47" s="141" t="s">
        <v>309</v>
      </c>
      <c r="H47" s="142" t="s">
        <v>310</v>
      </c>
      <c r="I47" s="142" t="s">
        <v>311</v>
      </c>
      <c r="J47" s="143" t="s">
        <v>312</v>
      </c>
    </row>
    <row r="48" spans="1:10" ht="15" customHeight="1" x14ac:dyDescent="0.3">
      <c r="A48" s="44">
        <v>2</v>
      </c>
      <c r="B48" s="229" t="s">
        <v>504</v>
      </c>
      <c r="C48" s="47" t="s">
        <v>66</v>
      </c>
      <c r="D48" s="122" t="s">
        <v>82</v>
      </c>
      <c r="E48" s="3" t="s">
        <v>170</v>
      </c>
      <c r="F48" s="67" t="s">
        <v>277</v>
      </c>
      <c r="G48" s="129"/>
      <c r="H48" s="130"/>
      <c r="I48" s="130"/>
      <c r="J48" s="131"/>
    </row>
    <row r="49" spans="1:10" ht="15" customHeight="1" x14ac:dyDescent="0.3">
      <c r="A49" s="44">
        <v>2</v>
      </c>
      <c r="B49" s="229" t="s">
        <v>504</v>
      </c>
      <c r="C49" s="47" t="s">
        <v>66</v>
      </c>
      <c r="D49" s="121" t="s">
        <v>83</v>
      </c>
      <c r="E49" s="3" t="s">
        <v>170</v>
      </c>
      <c r="F49" s="67" t="s">
        <v>277</v>
      </c>
      <c r="G49" s="129"/>
      <c r="H49" s="130"/>
      <c r="I49" s="130"/>
      <c r="J49" s="131"/>
    </row>
    <row r="50" spans="1:10" ht="15" customHeight="1" x14ac:dyDescent="0.3">
      <c r="A50" s="44">
        <v>2</v>
      </c>
      <c r="B50" s="229" t="s">
        <v>504</v>
      </c>
      <c r="C50" s="47" t="s">
        <v>66</v>
      </c>
      <c r="D50" s="122" t="s">
        <v>84</v>
      </c>
      <c r="E50" s="3" t="s">
        <v>170</v>
      </c>
      <c r="F50" s="67" t="s">
        <v>277</v>
      </c>
      <c r="G50" s="129"/>
      <c r="H50" s="130"/>
      <c r="I50" s="130"/>
      <c r="J50" s="131"/>
    </row>
    <row r="51" spans="1:10" ht="15" customHeight="1" x14ac:dyDescent="0.3">
      <c r="A51" s="44">
        <v>2</v>
      </c>
      <c r="B51" s="229" t="s">
        <v>504</v>
      </c>
      <c r="C51" s="47" t="s">
        <v>66</v>
      </c>
      <c r="D51" s="121" t="s">
        <v>85</v>
      </c>
      <c r="E51" s="3" t="s">
        <v>171</v>
      </c>
      <c r="F51" s="67" t="s">
        <v>277</v>
      </c>
      <c r="G51" s="129"/>
      <c r="H51" s="130"/>
      <c r="I51" s="130"/>
      <c r="J51" s="131"/>
    </row>
    <row r="52" spans="1:10" ht="15" customHeight="1" x14ac:dyDescent="0.3">
      <c r="A52" s="44">
        <v>2</v>
      </c>
      <c r="B52" s="229" t="s">
        <v>504</v>
      </c>
      <c r="C52" s="47" t="s">
        <v>66</v>
      </c>
      <c r="D52" s="121" t="s">
        <v>313</v>
      </c>
      <c r="E52" s="3" t="s">
        <v>171</v>
      </c>
      <c r="F52" s="67"/>
      <c r="G52" s="137" t="s">
        <v>211</v>
      </c>
      <c r="H52" s="122" t="s">
        <v>314</v>
      </c>
      <c r="I52" s="122" t="s">
        <v>315</v>
      </c>
      <c r="J52" s="138" t="s">
        <v>316</v>
      </c>
    </row>
    <row r="53" spans="1:10" ht="15" customHeight="1" thickBot="1" x14ac:dyDescent="0.35">
      <c r="A53" s="44">
        <v>1</v>
      </c>
      <c r="B53" s="229" t="s">
        <v>504</v>
      </c>
      <c r="C53" s="47" t="s">
        <v>66</v>
      </c>
      <c r="D53" s="127" t="s">
        <v>194</v>
      </c>
      <c r="E53" s="12"/>
      <c r="F53" s="66"/>
      <c r="G53" s="155"/>
      <c r="H53" s="156"/>
      <c r="I53" s="156"/>
      <c r="J53" s="157"/>
    </row>
    <row r="54" spans="1:10" ht="12.75" customHeight="1" x14ac:dyDescent="0.3">
      <c r="C54" s="119"/>
      <c r="E54" s="16"/>
      <c r="G54" s="128"/>
    </row>
    <row r="55" spans="1:10" ht="12.75" customHeight="1" x14ac:dyDescent="0.3">
      <c r="C55" s="119"/>
      <c r="E55" s="16"/>
      <c r="G55" s="128"/>
    </row>
    <row r="56" spans="1:10" ht="12.75" customHeight="1" x14ac:dyDescent="0.3">
      <c r="C56" s="119"/>
      <c r="E56" s="16"/>
      <c r="G56" s="128"/>
    </row>
  </sheetData>
  <autoFilter ref="A2:L53" xr:uid="{21CC0ED7-1899-49F8-9373-A5C0E8A98063}"/>
  <mergeCells count="2">
    <mergeCell ref="A1:F1"/>
    <mergeCell ref="G1:J1"/>
  </mergeCells>
  <phoneticPr fontId="4" type="noConversion"/>
  <conditionalFormatting sqref="A1:B1048576">
    <cfRule type="colorScale" priority="1">
      <colorScale>
        <cfvo type="num" val="1"/>
        <cfvo type="num" val="2"/>
        <cfvo type="num" val="3"/>
        <color theme="9" tint="0.79998168889431442"/>
        <color theme="9" tint="0.39997558519241921"/>
        <color theme="9" tint="-0.499984740745262"/>
      </colorScale>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40"/>
  <sheetViews>
    <sheetView showGridLines="0" topLeftCell="A5" zoomScale="90" zoomScaleNormal="90" workbookViewId="0">
      <selection activeCell="A3" sqref="A3:XFD39"/>
    </sheetView>
  </sheetViews>
  <sheetFormatPr defaultColWidth="11.44140625" defaultRowHeight="12.75" customHeight="1" x14ac:dyDescent="0.3"/>
  <cols>
    <col min="1" max="1" width="8" style="25" customWidth="1"/>
    <col min="2" max="2" width="22.88671875" style="25" customWidth="1"/>
    <col min="3" max="3" width="13.21875" style="16" customWidth="1"/>
    <col min="4" max="4" width="141.5546875" style="16" customWidth="1"/>
    <col min="5" max="5" width="37" style="19" customWidth="1"/>
    <col min="6" max="6" width="20.5546875" style="16" customWidth="1"/>
    <col min="7" max="7" width="17.21875" style="24" customWidth="1"/>
    <col min="8" max="16384" width="11.44140625" style="16"/>
  </cols>
  <sheetData>
    <row r="1" spans="1:34" s="25" customFormat="1" ht="15" customHeight="1" x14ac:dyDescent="0.3">
      <c r="A1" s="349" t="s">
        <v>199</v>
      </c>
      <c r="B1" s="349"/>
      <c r="C1" s="349"/>
      <c r="D1" s="349"/>
      <c r="E1" s="349"/>
      <c r="F1" s="349"/>
      <c r="G1" s="351" t="s">
        <v>200</v>
      </c>
      <c r="H1" s="352"/>
      <c r="I1" s="352"/>
      <c r="J1" s="353"/>
      <c r="K1" s="41"/>
      <c r="L1" s="41"/>
      <c r="M1" s="41"/>
      <c r="N1" s="41"/>
      <c r="O1" s="41"/>
    </row>
    <row r="2" spans="1:34" s="25" customFormat="1" ht="15" customHeight="1" x14ac:dyDescent="0.3">
      <c r="A2" s="25" t="s">
        <v>477</v>
      </c>
      <c r="B2" s="25" t="s">
        <v>502</v>
      </c>
      <c r="C2" s="25" t="s">
        <v>252</v>
      </c>
      <c r="D2" s="44" t="s">
        <v>201</v>
      </c>
      <c r="E2" s="25" t="s">
        <v>181</v>
      </c>
      <c r="F2" s="43" t="s">
        <v>198</v>
      </c>
      <c r="G2" s="86">
        <v>1</v>
      </c>
      <c r="H2" s="84">
        <v>2</v>
      </c>
      <c r="I2" s="84">
        <v>3</v>
      </c>
      <c r="J2" s="87">
        <v>4</v>
      </c>
      <c r="K2" s="49"/>
      <c r="L2" s="49"/>
      <c r="M2" s="41"/>
      <c r="N2" s="41"/>
      <c r="O2" s="41"/>
    </row>
    <row r="3" spans="1:34" ht="15" customHeight="1" x14ac:dyDescent="0.3">
      <c r="A3" s="96">
        <v>1</v>
      </c>
      <c r="B3" s="230" t="s">
        <v>505</v>
      </c>
      <c r="C3" s="47" t="s">
        <v>165</v>
      </c>
      <c r="D3" s="28" t="s">
        <v>63</v>
      </c>
      <c r="E3" s="3" t="s">
        <v>5</v>
      </c>
      <c r="F3" s="85"/>
      <c r="G3" s="1" t="s">
        <v>211</v>
      </c>
      <c r="H3" s="2"/>
      <c r="I3" s="2"/>
      <c r="J3" s="18" t="s">
        <v>212</v>
      </c>
      <c r="K3" s="21"/>
      <c r="L3" s="21"/>
      <c r="M3" s="21"/>
      <c r="N3" s="21"/>
      <c r="O3" s="21"/>
      <c r="P3" s="21"/>
      <c r="Q3" s="21"/>
      <c r="R3" s="21"/>
      <c r="S3" s="21"/>
      <c r="T3" s="21"/>
      <c r="U3" s="21"/>
      <c r="V3" s="21"/>
      <c r="W3" s="21"/>
      <c r="X3" s="21"/>
      <c r="Y3" s="21"/>
      <c r="Z3" s="21"/>
      <c r="AA3" s="21"/>
      <c r="AB3" s="21"/>
      <c r="AC3" s="21"/>
      <c r="AD3" s="21"/>
      <c r="AE3" s="21"/>
      <c r="AF3" s="21"/>
      <c r="AG3" s="21"/>
      <c r="AH3" s="21"/>
    </row>
    <row r="4" spans="1:34" ht="15" customHeight="1" x14ac:dyDescent="0.3">
      <c r="A4" s="96">
        <v>2</v>
      </c>
      <c r="B4" s="230" t="s">
        <v>505</v>
      </c>
      <c r="C4" s="47" t="s">
        <v>165</v>
      </c>
      <c r="D4" s="2" t="s">
        <v>349</v>
      </c>
      <c r="E4" s="3"/>
      <c r="F4" s="85"/>
      <c r="G4" s="1" t="s">
        <v>450</v>
      </c>
      <c r="H4" s="2"/>
      <c r="I4" s="2"/>
      <c r="J4" s="18" t="s">
        <v>212</v>
      </c>
      <c r="K4" s="21"/>
      <c r="L4" s="21"/>
      <c r="M4" s="21"/>
      <c r="N4" s="21"/>
      <c r="O4" s="21"/>
      <c r="P4" s="21"/>
      <c r="Q4" s="21"/>
      <c r="R4" s="21"/>
      <c r="S4" s="21"/>
      <c r="T4" s="21"/>
      <c r="U4" s="21"/>
      <c r="V4" s="21"/>
      <c r="W4" s="21"/>
      <c r="X4" s="21"/>
      <c r="Y4" s="21"/>
      <c r="Z4" s="21"/>
      <c r="AA4" s="21"/>
      <c r="AB4" s="21"/>
      <c r="AC4" s="21"/>
      <c r="AD4" s="21"/>
      <c r="AE4" s="21"/>
      <c r="AF4" s="21"/>
      <c r="AG4" s="21"/>
      <c r="AH4" s="21"/>
    </row>
    <row r="5" spans="1:34" ht="15" customHeight="1" x14ac:dyDescent="0.3">
      <c r="A5" s="96">
        <v>2</v>
      </c>
      <c r="B5" s="230" t="s">
        <v>505</v>
      </c>
      <c r="C5" s="47" t="s">
        <v>165</v>
      </c>
      <c r="D5" s="47" t="s">
        <v>115</v>
      </c>
      <c r="E5" s="3" t="s">
        <v>173</v>
      </c>
      <c r="F5" s="85"/>
      <c r="G5" s="1"/>
      <c r="H5" s="2"/>
      <c r="I5" s="2"/>
      <c r="J5" s="18"/>
      <c r="K5" s="21"/>
      <c r="L5" s="21"/>
      <c r="M5" s="21"/>
      <c r="N5" s="21"/>
      <c r="O5" s="21"/>
      <c r="P5" s="21"/>
      <c r="Q5" s="21"/>
      <c r="R5" s="21"/>
      <c r="S5" s="21"/>
      <c r="T5" s="21"/>
      <c r="U5" s="21"/>
      <c r="V5" s="21"/>
      <c r="W5" s="21"/>
      <c r="X5" s="21"/>
      <c r="Y5" s="21"/>
      <c r="Z5" s="21"/>
      <c r="AA5" s="21"/>
      <c r="AB5" s="21"/>
      <c r="AC5" s="21"/>
      <c r="AD5" s="21"/>
      <c r="AE5" s="21"/>
      <c r="AF5" s="21"/>
      <c r="AG5" s="21"/>
      <c r="AH5" s="21"/>
    </row>
    <row r="6" spans="1:34" ht="15" customHeight="1" x14ac:dyDescent="0.3">
      <c r="A6" s="96">
        <v>2</v>
      </c>
      <c r="B6" s="230" t="s">
        <v>505</v>
      </c>
      <c r="C6" s="47" t="s">
        <v>165</v>
      </c>
      <c r="D6" s="27" t="s">
        <v>182</v>
      </c>
      <c r="E6" s="3" t="s">
        <v>5</v>
      </c>
      <c r="F6" s="85"/>
      <c r="G6" s="1"/>
      <c r="H6" s="2"/>
      <c r="I6" s="2"/>
      <c r="J6" s="18"/>
      <c r="K6" s="21"/>
      <c r="L6" s="21"/>
      <c r="M6" s="21"/>
      <c r="N6" s="21"/>
      <c r="O6" s="21"/>
      <c r="P6" s="21"/>
      <c r="Q6" s="21"/>
      <c r="R6" s="21"/>
      <c r="S6" s="21"/>
      <c r="T6" s="21"/>
      <c r="U6" s="21"/>
      <c r="V6" s="21"/>
      <c r="W6" s="21"/>
      <c r="X6" s="21"/>
      <c r="Y6" s="21"/>
      <c r="Z6" s="21"/>
      <c r="AA6" s="21"/>
      <c r="AB6" s="21"/>
      <c r="AC6" s="21"/>
      <c r="AD6" s="21"/>
      <c r="AE6" s="21"/>
      <c r="AF6" s="21"/>
      <c r="AG6" s="21"/>
      <c r="AH6" s="21"/>
    </row>
    <row r="7" spans="1:34" ht="15" customHeight="1" x14ac:dyDescent="0.3">
      <c r="A7" s="97">
        <v>1</v>
      </c>
      <c r="B7" s="230" t="s">
        <v>505</v>
      </c>
      <c r="C7" s="47" t="s">
        <v>165</v>
      </c>
      <c r="D7" s="28" t="s">
        <v>70</v>
      </c>
      <c r="E7" s="3"/>
      <c r="F7" s="85"/>
      <c r="G7" s="1" t="s">
        <v>211</v>
      </c>
      <c r="H7" s="2"/>
      <c r="I7" s="2"/>
      <c r="J7" s="18" t="s">
        <v>212</v>
      </c>
    </row>
    <row r="8" spans="1:34" ht="15" customHeight="1" x14ac:dyDescent="0.3">
      <c r="A8" s="96">
        <v>1</v>
      </c>
      <c r="B8" s="230" t="s">
        <v>505</v>
      </c>
      <c r="C8" s="47" t="s">
        <v>165</v>
      </c>
      <c r="D8" s="31" t="s">
        <v>116</v>
      </c>
      <c r="E8" s="50" t="s">
        <v>171</v>
      </c>
      <c r="F8" s="85"/>
      <c r="G8" s="83"/>
      <c r="H8" s="31"/>
      <c r="I8" s="31"/>
      <c r="J8" s="74"/>
    </row>
    <row r="9" spans="1:34" ht="15" customHeight="1" x14ac:dyDescent="0.3">
      <c r="A9" s="111">
        <v>3</v>
      </c>
      <c r="B9" s="230" t="s">
        <v>505</v>
      </c>
      <c r="C9" s="47" t="s">
        <v>165</v>
      </c>
      <c r="D9" s="47" t="s">
        <v>117</v>
      </c>
      <c r="E9" s="3" t="s">
        <v>5</v>
      </c>
      <c r="F9" s="85"/>
      <c r="G9" s="1"/>
      <c r="H9" s="2"/>
      <c r="I9" s="2"/>
      <c r="J9" s="18"/>
    </row>
    <row r="10" spans="1:34" ht="15" customHeight="1" x14ac:dyDescent="0.3">
      <c r="A10" s="111">
        <v>3</v>
      </c>
      <c r="B10" s="230" t="s">
        <v>505</v>
      </c>
      <c r="C10" s="47" t="s">
        <v>165</v>
      </c>
      <c r="D10" s="47" t="s">
        <v>118</v>
      </c>
      <c r="E10" s="3" t="s">
        <v>173</v>
      </c>
      <c r="F10" s="85"/>
      <c r="G10" s="1"/>
      <c r="H10" s="2"/>
      <c r="I10" s="2"/>
      <c r="J10" s="18"/>
    </row>
    <row r="11" spans="1:34" ht="15" customHeight="1" x14ac:dyDescent="0.3">
      <c r="A11" s="114">
        <v>3</v>
      </c>
      <c r="B11" s="230" t="s">
        <v>505</v>
      </c>
      <c r="C11" s="47" t="s">
        <v>165</v>
      </c>
      <c r="D11" s="28" t="s">
        <v>189</v>
      </c>
      <c r="E11" s="3" t="s">
        <v>5</v>
      </c>
      <c r="F11" s="85"/>
      <c r="G11" s="1"/>
      <c r="H11" s="2"/>
      <c r="I11" s="2"/>
      <c r="J11" s="18"/>
    </row>
    <row r="12" spans="1:34" ht="15" customHeight="1" x14ac:dyDescent="0.3">
      <c r="A12" s="98">
        <v>3</v>
      </c>
      <c r="B12" s="230" t="s">
        <v>505</v>
      </c>
      <c r="C12" s="47" t="s">
        <v>165</v>
      </c>
      <c r="D12" s="31" t="s">
        <v>188</v>
      </c>
      <c r="E12" s="50" t="s">
        <v>173</v>
      </c>
      <c r="F12" s="85"/>
      <c r="G12" s="83"/>
      <c r="H12" s="31"/>
      <c r="I12" s="31"/>
      <c r="J12" s="74"/>
    </row>
    <row r="13" spans="1:34" ht="15" customHeight="1" x14ac:dyDescent="0.3">
      <c r="A13" s="113">
        <v>1</v>
      </c>
      <c r="B13" s="230" t="s">
        <v>505</v>
      </c>
      <c r="C13" s="47" t="s">
        <v>165</v>
      </c>
      <c r="D13" s="2" t="s">
        <v>45</v>
      </c>
      <c r="E13" s="3"/>
      <c r="F13" s="85"/>
      <c r="G13" s="1" t="s">
        <v>211</v>
      </c>
      <c r="H13" s="2"/>
      <c r="I13" s="2"/>
      <c r="J13" s="18" t="s">
        <v>212</v>
      </c>
    </row>
    <row r="14" spans="1:34" ht="15" customHeight="1" x14ac:dyDescent="0.3">
      <c r="A14" s="97">
        <v>1</v>
      </c>
      <c r="B14" s="230" t="s">
        <v>505</v>
      </c>
      <c r="C14" s="47" t="s">
        <v>165</v>
      </c>
      <c r="D14" s="2" t="s">
        <v>119</v>
      </c>
      <c r="E14" s="3"/>
      <c r="F14" s="85"/>
      <c r="G14" s="1" t="s">
        <v>211</v>
      </c>
      <c r="H14" s="2"/>
      <c r="I14" s="2"/>
      <c r="J14" s="18"/>
    </row>
    <row r="15" spans="1:34" ht="15" customHeight="1" x14ac:dyDescent="0.3">
      <c r="A15" s="96">
        <v>1</v>
      </c>
      <c r="B15" s="230" t="s">
        <v>505</v>
      </c>
      <c r="C15" s="47" t="s">
        <v>165</v>
      </c>
      <c r="D15" s="31" t="s">
        <v>120</v>
      </c>
      <c r="E15" s="50" t="s">
        <v>11</v>
      </c>
      <c r="F15" s="85"/>
      <c r="G15" s="83"/>
      <c r="H15" s="31"/>
      <c r="I15" s="31"/>
      <c r="J15" s="74"/>
    </row>
    <row r="16" spans="1:34" ht="15" customHeight="1" x14ac:dyDescent="0.3">
      <c r="A16" s="96">
        <v>1</v>
      </c>
      <c r="B16" s="230" t="s">
        <v>505</v>
      </c>
      <c r="C16" s="47" t="s">
        <v>165</v>
      </c>
      <c r="D16" s="28" t="s">
        <v>147</v>
      </c>
      <c r="E16" s="3" t="s">
        <v>171</v>
      </c>
      <c r="F16" s="85"/>
      <c r="G16" s="1"/>
      <c r="H16" s="2"/>
      <c r="I16" s="2"/>
      <c r="J16" s="18"/>
    </row>
    <row r="17" spans="1:10" ht="15" customHeight="1" x14ac:dyDescent="0.3">
      <c r="A17" s="96">
        <v>1</v>
      </c>
      <c r="B17" s="230" t="s">
        <v>505</v>
      </c>
      <c r="C17" s="47" t="s">
        <v>165</v>
      </c>
      <c r="D17" s="31" t="s">
        <v>146</v>
      </c>
      <c r="E17" s="50" t="s">
        <v>11</v>
      </c>
      <c r="F17" s="85"/>
      <c r="G17" s="83"/>
      <c r="H17" s="31"/>
      <c r="I17" s="31"/>
      <c r="J17" s="74"/>
    </row>
    <row r="18" spans="1:10" ht="15" customHeight="1" x14ac:dyDescent="0.3">
      <c r="A18" s="114">
        <v>3</v>
      </c>
      <c r="B18" s="230" t="s">
        <v>505</v>
      </c>
      <c r="C18" s="47" t="s">
        <v>165</v>
      </c>
      <c r="D18" s="2" t="s">
        <v>71</v>
      </c>
      <c r="E18" s="3" t="s">
        <v>171</v>
      </c>
      <c r="F18" s="85"/>
      <c r="G18" s="1"/>
      <c r="H18" s="2"/>
      <c r="I18" s="2"/>
      <c r="J18" s="18"/>
    </row>
    <row r="19" spans="1:10" ht="15" customHeight="1" x14ac:dyDescent="0.3">
      <c r="A19" s="114">
        <v>3</v>
      </c>
      <c r="B19" s="230" t="s">
        <v>505</v>
      </c>
      <c r="C19" s="47" t="s">
        <v>165</v>
      </c>
      <c r="D19" s="28" t="s">
        <v>184</v>
      </c>
      <c r="E19" s="3" t="s">
        <v>171</v>
      </c>
      <c r="F19" s="85"/>
      <c r="G19" s="1"/>
      <c r="H19" s="2"/>
      <c r="I19" s="2"/>
      <c r="J19" s="18"/>
    </row>
    <row r="20" spans="1:10" ht="15" customHeight="1" x14ac:dyDescent="0.3">
      <c r="A20" s="114">
        <v>3</v>
      </c>
      <c r="B20" s="230" t="s">
        <v>505</v>
      </c>
      <c r="C20" s="47" t="s">
        <v>165</v>
      </c>
      <c r="D20" s="28" t="s">
        <v>121</v>
      </c>
      <c r="E20" s="3" t="s">
        <v>10</v>
      </c>
      <c r="F20" s="85"/>
      <c r="G20" s="1"/>
      <c r="H20" s="2"/>
      <c r="I20" s="2"/>
      <c r="J20" s="18"/>
    </row>
    <row r="21" spans="1:10" ht="15" customHeight="1" x14ac:dyDescent="0.3">
      <c r="A21" s="98">
        <v>3</v>
      </c>
      <c r="B21" s="230" t="s">
        <v>505</v>
      </c>
      <c r="C21" s="47" t="s">
        <v>165</v>
      </c>
      <c r="D21" s="31" t="s">
        <v>58</v>
      </c>
      <c r="E21" s="31" t="s">
        <v>173</v>
      </c>
      <c r="F21" s="85"/>
      <c r="G21" s="83"/>
      <c r="H21" s="31"/>
      <c r="I21" s="31"/>
      <c r="J21" s="74"/>
    </row>
    <row r="22" spans="1:10" ht="15" customHeight="1" x14ac:dyDescent="0.3">
      <c r="A22" s="96">
        <v>2</v>
      </c>
      <c r="B22" s="230" t="s">
        <v>505</v>
      </c>
      <c r="C22" s="47" t="s">
        <v>165</v>
      </c>
      <c r="D22" s="2" t="s">
        <v>122</v>
      </c>
      <c r="E22" s="2" t="s">
        <v>10</v>
      </c>
      <c r="F22" s="85"/>
      <c r="G22" s="1"/>
      <c r="H22" s="2"/>
      <c r="I22" s="2"/>
      <c r="J22" s="18"/>
    </row>
    <row r="23" spans="1:10" ht="15" customHeight="1" x14ac:dyDescent="0.3">
      <c r="A23" s="96">
        <v>2</v>
      </c>
      <c r="B23" s="230" t="s">
        <v>505</v>
      </c>
      <c r="C23" s="47" t="s">
        <v>165</v>
      </c>
      <c r="D23" s="31" t="s">
        <v>123</v>
      </c>
      <c r="E23" s="31" t="s">
        <v>173</v>
      </c>
      <c r="F23" s="85"/>
      <c r="G23" s="83"/>
      <c r="H23" s="31"/>
      <c r="I23" s="31"/>
      <c r="J23" s="74"/>
    </row>
    <row r="24" spans="1:10" ht="15" customHeight="1" x14ac:dyDescent="0.3">
      <c r="A24" s="96">
        <v>2</v>
      </c>
      <c r="B24" s="230" t="s">
        <v>505</v>
      </c>
      <c r="C24" s="47" t="s">
        <v>165</v>
      </c>
      <c r="D24" s="2" t="s">
        <v>455</v>
      </c>
      <c r="E24" s="2" t="s">
        <v>173</v>
      </c>
      <c r="F24" s="85"/>
      <c r="G24" s="1"/>
      <c r="H24" s="2"/>
      <c r="I24" s="2"/>
      <c r="J24" s="18"/>
    </row>
    <row r="25" spans="1:10" ht="15" customHeight="1" x14ac:dyDescent="0.3">
      <c r="A25" s="96">
        <v>1</v>
      </c>
      <c r="B25" s="230" t="s">
        <v>505</v>
      </c>
      <c r="C25" s="47" t="s">
        <v>43</v>
      </c>
      <c r="D25" s="2" t="s">
        <v>16</v>
      </c>
      <c r="E25" s="2" t="s">
        <v>5</v>
      </c>
      <c r="F25" s="85"/>
      <c r="G25" s="1"/>
      <c r="H25" s="2"/>
      <c r="I25" s="2"/>
      <c r="J25" s="18"/>
    </row>
    <row r="26" spans="1:10" ht="15" customHeight="1" x14ac:dyDescent="0.3">
      <c r="A26" s="97">
        <v>2</v>
      </c>
      <c r="B26" s="230" t="s">
        <v>505</v>
      </c>
      <c r="C26" s="47" t="s">
        <v>43</v>
      </c>
      <c r="D26" s="31" t="s">
        <v>490</v>
      </c>
      <c r="E26" s="31" t="s">
        <v>173</v>
      </c>
      <c r="F26" s="85"/>
      <c r="G26" s="83"/>
      <c r="H26" s="31"/>
      <c r="I26" s="31"/>
      <c r="J26" s="74"/>
    </row>
    <row r="27" spans="1:10" ht="15" customHeight="1" x14ac:dyDescent="0.3">
      <c r="A27" s="97">
        <v>1</v>
      </c>
      <c r="B27" s="230" t="s">
        <v>505</v>
      </c>
      <c r="C27" s="47" t="s">
        <v>48</v>
      </c>
      <c r="D27" s="2" t="s">
        <v>196</v>
      </c>
      <c r="E27" s="2" t="s">
        <v>172</v>
      </c>
      <c r="F27" s="85"/>
      <c r="G27" s="73"/>
      <c r="H27" s="48"/>
      <c r="I27" s="48"/>
      <c r="J27" s="72"/>
    </row>
    <row r="28" spans="1:10" ht="15" customHeight="1" x14ac:dyDescent="0.3">
      <c r="A28" s="97">
        <v>1</v>
      </c>
      <c r="B28" s="230" t="s">
        <v>505</v>
      </c>
      <c r="C28" s="47" t="s">
        <v>48</v>
      </c>
      <c r="D28" s="2" t="s">
        <v>457</v>
      </c>
      <c r="E28" s="2" t="s">
        <v>172</v>
      </c>
      <c r="F28" s="85"/>
      <c r="G28" s="73"/>
      <c r="H28" s="48"/>
      <c r="I28" s="48"/>
      <c r="J28" s="72"/>
    </row>
    <row r="29" spans="1:10" ht="15" customHeight="1" x14ac:dyDescent="0.3">
      <c r="A29" s="97">
        <v>1</v>
      </c>
      <c r="B29" s="230" t="s">
        <v>505</v>
      </c>
      <c r="C29" s="47" t="s">
        <v>48</v>
      </c>
      <c r="D29" s="31" t="s">
        <v>164</v>
      </c>
      <c r="E29" s="31" t="s">
        <v>173</v>
      </c>
      <c r="F29" s="85"/>
      <c r="G29" s="83"/>
      <c r="H29" s="31"/>
      <c r="I29" s="31"/>
      <c r="J29" s="74"/>
    </row>
    <row r="30" spans="1:10" ht="15" customHeight="1" x14ac:dyDescent="0.3">
      <c r="A30" s="97">
        <v>2</v>
      </c>
      <c r="B30" s="230" t="s">
        <v>505</v>
      </c>
      <c r="C30" s="47" t="s">
        <v>44</v>
      </c>
      <c r="D30" s="2" t="s">
        <v>15</v>
      </c>
      <c r="E30" s="2" t="s">
        <v>5</v>
      </c>
      <c r="F30" s="85"/>
      <c r="G30" s="1"/>
      <c r="H30" s="2"/>
      <c r="I30" s="2"/>
      <c r="J30" s="18"/>
    </row>
    <row r="31" spans="1:10" ht="15" customHeight="1" x14ac:dyDescent="0.3">
      <c r="A31" s="97">
        <v>2</v>
      </c>
      <c r="B31" s="230" t="s">
        <v>505</v>
      </c>
      <c r="C31" s="47" t="s">
        <v>44</v>
      </c>
      <c r="D31" s="31" t="s">
        <v>124</v>
      </c>
      <c r="E31" s="2" t="s">
        <v>173</v>
      </c>
      <c r="F31" s="85"/>
      <c r="G31" s="1"/>
      <c r="H31" s="2"/>
      <c r="I31" s="2"/>
      <c r="J31" s="18"/>
    </row>
    <row r="32" spans="1:10" ht="15" customHeight="1" x14ac:dyDescent="0.3">
      <c r="A32" s="97">
        <v>2</v>
      </c>
      <c r="B32" s="230" t="s">
        <v>505</v>
      </c>
      <c r="C32" s="47" t="s">
        <v>46</v>
      </c>
      <c r="D32" s="2" t="s">
        <v>143</v>
      </c>
      <c r="E32" s="2" t="s">
        <v>171</v>
      </c>
      <c r="F32" s="85"/>
      <c r="G32" s="1"/>
      <c r="H32" s="2"/>
      <c r="I32" s="2"/>
      <c r="J32" s="18"/>
    </row>
    <row r="33" spans="1:10" ht="15" customHeight="1" x14ac:dyDescent="0.3">
      <c r="A33" s="97">
        <v>2</v>
      </c>
      <c r="B33" s="230" t="s">
        <v>505</v>
      </c>
      <c r="C33" s="47" t="s">
        <v>46</v>
      </c>
      <c r="D33" s="31" t="s">
        <v>17</v>
      </c>
      <c r="E33" s="2" t="s">
        <v>173</v>
      </c>
      <c r="F33" s="85"/>
      <c r="G33" s="1"/>
      <c r="H33" s="2"/>
      <c r="I33" s="2"/>
      <c r="J33" s="18"/>
    </row>
    <row r="34" spans="1:10" ht="15" customHeight="1" x14ac:dyDescent="0.3">
      <c r="A34" s="97">
        <v>2</v>
      </c>
      <c r="B34" s="230" t="s">
        <v>505</v>
      </c>
      <c r="C34" s="47" t="s">
        <v>46</v>
      </c>
      <c r="D34" s="2" t="s">
        <v>456</v>
      </c>
      <c r="E34" s="2" t="s">
        <v>5</v>
      </c>
      <c r="F34" s="85"/>
      <c r="G34" s="1"/>
      <c r="H34" s="2"/>
      <c r="I34" s="2"/>
      <c r="J34" s="18"/>
    </row>
    <row r="35" spans="1:10" ht="15" customHeight="1" x14ac:dyDescent="0.3">
      <c r="A35" s="97">
        <v>2</v>
      </c>
      <c r="B35" s="230" t="s">
        <v>505</v>
      </c>
      <c r="C35" s="47" t="s">
        <v>46</v>
      </c>
      <c r="D35" s="31" t="s">
        <v>125</v>
      </c>
      <c r="E35" s="2" t="s">
        <v>173</v>
      </c>
      <c r="F35" s="85"/>
      <c r="G35" s="1"/>
      <c r="H35" s="2"/>
      <c r="I35" s="2"/>
      <c r="J35" s="18"/>
    </row>
    <row r="36" spans="1:10" ht="15" customHeight="1" x14ac:dyDescent="0.3">
      <c r="A36" s="97">
        <v>2</v>
      </c>
      <c r="B36" s="230" t="s">
        <v>505</v>
      </c>
      <c r="C36" s="47" t="s">
        <v>38</v>
      </c>
      <c r="D36" s="2" t="s">
        <v>145</v>
      </c>
      <c r="E36" s="2"/>
      <c r="F36" s="85"/>
      <c r="G36" s="1" t="s">
        <v>329</v>
      </c>
      <c r="H36" s="2" t="s">
        <v>211</v>
      </c>
      <c r="I36" s="2"/>
      <c r="J36" s="18" t="s">
        <v>212</v>
      </c>
    </row>
    <row r="37" spans="1:10" ht="15" customHeight="1" x14ac:dyDescent="0.3">
      <c r="A37" s="97">
        <v>2</v>
      </c>
      <c r="B37" s="230" t="s">
        <v>505</v>
      </c>
      <c r="C37" s="47" t="s">
        <v>38</v>
      </c>
      <c r="D37" s="31" t="s">
        <v>33</v>
      </c>
      <c r="E37" s="2" t="s">
        <v>173</v>
      </c>
      <c r="F37" s="85"/>
      <c r="G37" s="1"/>
      <c r="H37" s="2"/>
      <c r="I37" s="2"/>
      <c r="J37" s="18"/>
    </row>
    <row r="38" spans="1:10" ht="15" customHeight="1" x14ac:dyDescent="0.3">
      <c r="A38" s="111">
        <v>3</v>
      </c>
      <c r="B38" s="230" t="s">
        <v>505</v>
      </c>
      <c r="C38" s="47" t="s">
        <v>38</v>
      </c>
      <c r="D38" s="47" t="s">
        <v>72</v>
      </c>
      <c r="E38" s="2" t="s">
        <v>171</v>
      </c>
      <c r="F38" s="85"/>
      <c r="G38" s="1"/>
      <c r="H38" s="2"/>
      <c r="I38" s="2"/>
      <c r="J38" s="18"/>
    </row>
    <row r="39" spans="1:10" ht="15" customHeight="1" thickBot="1" x14ac:dyDescent="0.35">
      <c r="A39" s="116">
        <v>3</v>
      </c>
      <c r="B39" s="230" t="s">
        <v>505</v>
      </c>
      <c r="C39" s="47" t="s">
        <v>38</v>
      </c>
      <c r="D39" s="47" t="s">
        <v>47</v>
      </c>
      <c r="E39" s="2" t="s">
        <v>11</v>
      </c>
      <c r="F39" s="85"/>
      <c r="G39" s="4"/>
      <c r="H39" s="5"/>
      <c r="I39" s="5"/>
      <c r="J39" s="17"/>
    </row>
    <row r="40" spans="1:10" ht="12.75" customHeight="1" x14ac:dyDescent="0.3">
      <c r="D40" s="10"/>
      <c r="E40" s="15"/>
    </row>
  </sheetData>
  <autoFilter ref="A3:J39" xr:uid="{1BAAD9CC-00C8-463F-B96E-1C3BA03D50F2}"/>
  <mergeCells count="2">
    <mergeCell ref="A1:F1"/>
    <mergeCell ref="G1:J1"/>
  </mergeCells>
  <phoneticPr fontId="4" type="noConversion"/>
  <conditionalFormatting sqref="A1:B1048576">
    <cfRule type="colorScale" priority="1">
      <colorScale>
        <cfvo type="num" val="1"/>
        <cfvo type="num" val="2"/>
        <cfvo type="num" val="3"/>
        <color theme="9" tint="0.79998168889431442"/>
        <color theme="9" tint="0.39997558519241921"/>
        <color theme="9" tint="-0.499984740745262"/>
      </colorScale>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49"/>
  <sheetViews>
    <sheetView showGridLines="0" zoomScale="85" zoomScaleNormal="85" workbookViewId="0">
      <pane xSplit="5" ySplit="2" topLeftCell="F5" activePane="bottomRight" state="frozen"/>
      <selection pane="topRight" activeCell="F1" sqref="F1"/>
      <selection pane="bottomLeft" activeCell="A2" sqref="A2"/>
      <selection pane="bottomRight" activeCell="D15" sqref="D15"/>
    </sheetView>
  </sheetViews>
  <sheetFormatPr defaultColWidth="11.44140625" defaultRowHeight="12" customHeight="1" x14ac:dyDescent="0.3"/>
  <cols>
    <col min="1" max="1" width="8" style="25" customWidth="1"/>
    <col min="2" max="2" width="17.88671875" style="25" customWidth="1"/>
    <col min="3" max="3" width="20.21875" style="20" customWidth="1"/>
    <col min="4" max="4" width="116.44140625" style="8" customWidth="1"/>
    <col min="5" max="5" width="30.21875" style="9" customWidth="1"/>
    <col min="6" max="6" width="21.5546875" style="8" customWidth="1"/>
    <col min="7" max="16384" width="11.44140625" style="8"/>
  </cols>
  <sheetData>
    <row r="1" spans="1:35" s="25" customFormat="1" ht="15.75" customHeight="1" x14ac:dyDescent="0.3">
      <c r="A1" s="349" t="s">
        <v>199</v>
      </c>
      <c r="B1" s="349"/>
      <c r="C1" s="349"/>
      <c r="D1" s="349"/>
      <c r="E1" s="349"/>
      <c r="F1" s="349"/>
      <c r="G1" s="351" t="s">
        <v>200</v>
      </c>
      <c r="H1" s="352"/>
      <c r="I1" s="352"/>
      <c r="J1" s="353"/>
      <c r="K1" s="41"/>
      <c r="L1" s="41"/>
      <c r="M1" s="41"/>
      <c r="N1" s="41"/>
      <c r="O1" s="41"/>
    </row>
    <row r="2" spans="1:35" s="25" customFormat="1" ht="15.75" customHeight="1" x14ac:dyDescent="0.3">
      <c r="A2" s="25" t="s">
        <v>477</v>
      </c>
      <c r="B2" s="25" t="s">
        <v>502</v>
      </c>
      <c r="C2" s="34" t="s">
        <v>252</v>
      </c>
      <c r="D2" s="44" t="s">
        <v>201</v>
      </c>
      <c r="E2" s="43" t="s">
        <v>181</v>
      </c>
      <c r="F2" s="43" t="s">
        <v>198</v>
      </c>
      <c r="G2" s="58">
        <v>1</v>
      </c>
      <c r="H2" s="46">
        <v>2</v>
      </c>
      <c r="I2" s="46">
        <v>3</v>
      </c>
      <c r="J2" s="59">
        <v>4</v>
      </c>
      <c r="K2" s="49"/>
      <c r="L2" s="49"/>
      <c r="M2" s="41"/>
      <c r="N2" s="41"/>
      <c r="O2" s="41"/>
    </row>
    <row r="3" spans="1:35" ht="15" customHeight="1" x14ac:dyDescent="0.3">
      <c r="A3" s="96">
        <v>1</v>
      </c>
      <c r="B3" s="230" t="s">
        <v>506</v>
      </c>
      <c r="C3" s="170" t="s">
        <v>57</v>
      </c>
      <c r="D3" s="29" t="s">
        <v>127</v>
      </c>
      <c r="E3" s="29"/>
      <c r="F3" s="57"/>
      <c r="G3" s="60" t="s">
        <v>211</v>
      </c>
      <c r="H3" s="29" t="s">
        <v>389</v>
      </c>
      <c r="I3" s="29" t="s">
        <v>388</v>
      </c>
      <c r="J3" s="61" t="s">
        <v>387</v>
      </c>
      <c r="K3" s="21"/>
      <c r="L3" s="21"/>
      <c r="M3" s="21"/>
      <c r="N3" s="21"/>
      <c r="O3" s="21"/>
      <c r="P3" s="21"/>
      <c r="Q3" s="21"/>
      <c r="R3" s="21"/>
      <c r="S3" s="21"/>
      <c r="T3" s="21"/>
      <c r="U3" s="21"/>
      <c r="V3" s="21"/>
      <c r="W3" s="21"/>
      <c r="X3" s="21"/>
      <c r="Y3" s="21"/>
      <c r="Z3" s="21"/>
      <c r="AA3" s="21"/>
      <c r="AB3" s="21"/>
      <c r="AC3" s="21"/>
      <c r="AD3" s="21"/>
      <c r="AE3" s="21"/>
      <c r="AF3" s="21"/>
      <c r="AG3" s="21"/>
      <c r="AH3" s="21"/>
      <c r="AI3" s="21"/>
    </row>
    <row r="4" spans="1:35" ht="15" customHeight="1" x14ac:dyDescent="0.3">
      <c r="A4" s="96">
        <v>1</v>
      </c>
      <c r="B4" s="230" t="s">
        <v>506</v>
      </c>
      <c r="C4" s="170" t="s">
        <v>57</v>
      </c>
      <c r="D4" s="79" t="s">
        <v>476</v>
      </c>
      <c r="E4" s="79" t="s">
        <v>173</v>
      </c>
      <c r="F4" s="80"/>
      <c r="G4" s="81"/>
      <c r="H4" s="79"/>
      <c r="I4" s="79"/>
      <c r="J4" s="82"/>
      <c r="K4" s="21"/>
      <c r="L4" s="21"/>
      <c r="M4" s="21"/>
      <c r="N4" s="21"/>
      <c r="O4" s="21"/>
      <c r="P4" s="21"/>
      <c r="Q4" s="21"/>
      <c r="R4" s="21"/>
      <c r="S4" s="21"/>
      <c r="T4" s="21"/>
      <c r="U4" s="21"/>
      <c r="V4" s="21"/>
      <c r="W4" s="21"/>
      <c r="X4" s="21"/>
      <c r="Y4" s="21"/>
      <c r="Z4" s="21"/>
      <c r="AA4" s="21"/>
      <c r="AB4" s="21"/>
      <c r="AC4" s="21"/>
      <c r="AD4" s="21"/>
      <c r="AE4" s="21"/>
      <c r="AF4" s="21"/>
      <c r="AG4" s="21"/>
      <c r="AH4" s="21"/>
      <c r="AI4" s="21"/>
    </row>
    <row r="5" spans="1:35" ht="15" customHeight="1" x14ac:dyDescent="0.3">
      <c r="A5" s="96">
        <v>2</v>
      </c>
      <c r="B5" s="230" t="s">
        <v>506</v>
      </c>
      <c r="C5" s="170" t="s">
        <v>57</v>
      </c>
      <c r="D5" s="29" t="s">
        <v>491</v>
      </c>
      <c r="E5" s="29"/>
      <c r="F5" s="57"/>
      <c r="G5" s="60" t="s">
        <v>329</v>
      </c>
      <c r="H5" s="29" t="s">
        <v>211</v>
      </c>
      <c r="I5" s="29"/>
      <c r="J5" s="61" t="s">
        <v>212</v>
      </c>
      <c r="K5" s="21"/>
      <c r="L5" s="21"/>
      <c r="M5" s="21"/>
      <c r="N5" s="21"/>
      <c r="O5" s="21"/>
      <c r="P5" s="21"/>
      <c r="Q5" s="21"/>
      <c r="R5" s="21"/>
      <c r="S5" s="21"/>
      <c r="T5" s="21"/>
      <c r="U5" s="21"/>
      <c r="V5" s="21"/>
      <c r="W5" s="21"/>
      <c r="X5" s="21"/>
      <c r="Y5" s="21"/>
      <c r="Z5" s="21"/>
      <c r="AA5" s="21"/>
      <c r="AB5" s="21"/>
      <c r="AC5" s="21"/>
      <c r="AD5" s="21"/>
      <c r="AE5" s="21"/>
      <c r="AF5" s="21"/>
      <c r="AG5" s="21"/>
      <c r="AH5" s="21"/>
      <c r="AI5" s="21"/>
    </row>
    <row r="6" spans="1:35" ht="15" customHeight="1" x14ac:dyDescent="0.3">
      <c r="A6" s="96">
        <v>2</v>
      </c>
      <c r="B6" s="230" t="s">
        <v>506</v>
      </c>
      <c r="C6" s="170" t="s">
        <v>57</v>
      </c>
      <c r="D6" s="79" t="s">
        <v>149</v>
      </c>
      <c r="E6" s="79" t="s">
        <v>173</v>
      </c>
      <c r="F6" s="80"/>
      <c r="G6" s="81"/>
      <c r="H6" s="79"/>
      <c r="I6" s="79"/>
      <c r="J6" s="82"/>
    </row>
    <row r="7" spans="1:35" ht="15" customHeight="1" x14ac:dyDescent="0.3">
      <c r="A7" s="97">
        <v>1</v>
      </c>
      <c r="B7" s="230" t="s">
        <v>506</v>
      </c>
      <c r="C7" s="170" t="s">
        <v>57</v>
      </c>
      <c r="D7" s="29" t="s">
        <v>29</v>
      </c>
      <c r="E7" s="29"/>
      <c r="F7" s="57"/>
      <c r="G7" s="60" t="s">
        <v>211</v>
      </c>
      <c r="H7" s="29"/>
      <c r="I7" s="29"/>
      <c r="J7" s="61" t="s">
        <v>212</v>
      </c>
    </row>
    <row r="8" spans="1:35" ht="30.6" customHeight="1" x14ac:dyDescent="0.3">
      <c r="A8" s="111">
        <v>3</v>
      </c>
      <c r="B8" s="230" t="s">
        <v>506</v>
      </c>
      <c r="C8" s="170" t="s">
        <v>57</v>
      </c>
      <c r="D8" s="88" t="s">
        <v>390</v>
      </c>
      <c r="E8" s="29" t="s">
        <v>5</v>
      </c>
      <c r="F8" s="57"/>
      <c r="G8" s="60" t="s">
        <v>211</v>
      </c>
      <c r="H8" s="29"/>
      <c r="I8" s="29"/>
      <c r="J8" s="61" t="s">
        <v>212</v>
      </c>
    </row>
    <row r="9" spans="1:35" ht="28.5" customHeight="1" x14ac:dyDescent="0.3">
      <c r="A9" s="111">
        <v>3</v>
      </c>
      <c r="B9" s="230" t="s">
        <v>506</v>
      </c>
      <c r="C9" s="170" t="s">
        <v>57</v>
      </c>
      <c r="D9" s="88" t="s">
        <v>391</v>
      </c>
      <c r="E9" s="29" t="s">
        <v>5</v>
      </c>
      <c r="F9" s="57"/>
      <c r="G9" s="60" t="s">
        <v>211</v>
      </c>
      <c r="H9" s="29"/>
      <c r="I9" s="29"/>
      <c r="J9" s="61" t="s">
        <v>212</v>
      </c>
    </row>
    <row r="10" spans="1:35" ht="15" customHeight="1" x14ac:dyDescent="0.3">
      <c r="A10" s="111">
        <v>3</v>
      </c>
      <c r="B10" s="230" t="s">
        <v>506</v>
      </c>
      <c r="C10" s="170" t="s">
        <v>57</v>
      </c>
      <c r="D10" s="36" t="s">
        <v>30</v>
      </c>
      <c r="E10" s="79" t="s">
        <v>173</v>
      </c>
      <c r="F10" s="80"/>
      <c r="G10" s="81"/>
      <c r="H10" s="79"/>
      <c r="I10" s="79"/>
      <c r="J10" s="82"/>
    </row>
    <row r="11" spans="1:35" ht="15" customHeight="1" x14ac:dyDescent="0.3">
      <c r="A11" s="112">
        <v>1</v>
      </c>
      <c r="B11" s="230" t="s">
        <v>506</v>
      </c>
      <c r="C11" s="170" t="s">
        <v>57</v>
      </c>
      <c r="D11" s="88" t="s">
        <v>128</v>
      </c>
      <c r="E11" s="29" t="s">
        <v>163</v>
      </c>
      <c r="F11" s="57"/>
      <c r="G11" s="60" t="s">
        <v>229</v>
      </c>
      <c r="H11" s="29" t="s">
        <v>230</v>
      </c>
      <c r="I11" s="29" t="s">
        <v>231</v>
      </c>
      <c r="J11" s="61" t="s">
        <v>232</v>
      </c>
    </row>
    <row r="12" spans="1:35" ht="15" customHeight="1" x14ac:dyDescent="0.3">
      <c r="A12" s="98">
        <v>3</v>
      </c>
      <c r="B12" s="230" t="s">
        <v>506</v>
      </c>
      <c r="C12" s="170" t="s">
        <v>57</v>
      </c>
      <c r="D12" s="88" t="s">
        <v>129</v>
      </c>
      <c r="E12" s="29"/>
      <c r="F12" s="57"/>
      <c r="G12" s="60" t="s">
        <v>284</v>
      </c>
      <c r="H12" s="29" t="s">
        <v>211</v>
      </c>
      <c r="I12" s="29" t="s">
        <v>392</v>
      </c>
      <c r="J12" s="61" t="s">
        <v>393</v>
      </c>
    </row>
    <row r="13" spans="1:35" ht="15" customHeight="1" x14ac:dyDescent="0.3">
      <c r="A13" s="98">
        <v>3</v>
      </c>
      <c r="B13" s="230" t="s">
        <v>506</v>
      </c>
      <c r="C13" s="170" t="s">
        <v>57</v>
      </c>
      <c r="D13" s="36" t="s">
        <v>50</v>
      </c>
      <c r="E13" s="79" t="s">
        <v>173</v>
      </c>
      <c r="F13" s="80"/>
      <c r="G13" s="81"/>
      <c r="H13" s="79"/>
      <c r="I13" s="79"/>
      <c r="J13" s="82"/>
    </row>
    <row r="14" spans="1:35" ht="15" customHeight="1" x14ac:dyDescent="0.3">
      <c r="A14" s="97">
        <v>1</v>
      </c>
      <c r="B14" s="230" t="s">
        <v>506</v>
      </c>
      <c r="C14" s="170" t="s">
        <v>57</v>
      </c>
      <c r="D14" s="88" t="s">
        <v>152</v>
      </c>
      <c r="E14" s="29"/>
      <c r="F14" s="57"/>
      <c r="G14" s="60" t="s">
        <v>211</v>
      </c>
      <c r="H14" s="29" t="s">
        <v>492</v>
      </c>
      <c r="I14" s="29" t="s">
        <v>493</v>
      </c>
      <c r="J14" s="61" t="s">
        <v>494</v>
      </c>
    </row>
    <row r="15" spans="1:35" ht="15" customHeight="1" x14ac:dyDescent="0.3">
      <c r="A15" s="96">
        <v>1</v>
      </c>
      <c r="B15" s="230" t="s">
        <v>506</v>
      </c>
      <c r="C15" s="170" t="s">
        <v>57</v>
      </c>
      <c r="D15" s="88" t="s">
        <v>157</v>
      </c>
      <c r="E15" s="29"/>
      <c r="F15" s="57"/>
      <c r="G15" s="60" t="s">
        <v>211</v>
      </c>
      <c r="H15" s="29" t="s">
        <v>492</v>
      </c>
      <c r="I15" s="29" t="s">
        <v>493</v>
      </c>
      <c r="J15" s="61" t="s">
        <v>494</v>
      </c>
    </row>
    <row r="16" spans="1:35" ht="15" customHeight="1" x14ac:dyDescent="0.3">
      <c r="A16" s="96">
        <v>1</v>
      </c>
      <c r="B16" s="230" t="s">
        <v>506</v>
      </c>
      <c r="C16" s="170" t="s">
        <v>57</v>
      </c>
      <c r="D16" s="88" t="s">
        <v>153</v>
      </c>
      <c r="E16" s="29"/>
      <c r="F16" s="57"/>
      <c r="G16" s="60" t="s">
        <v>211</v>
      </c>
      <c r="H16" s="29" t="s">
        <v>492</v>
      </c>
      <c r="I16" s="29" t="s">
        <v>493</v>
      </c>
      <c r="J16" s="61" t="s">
        <v>494</v>
      </c>
    </row>
    <row r="17" spans="1:10" ht="15" customHeight="1" x14ac:dyDescent="0.3">
      <c r="A17" s="96">
        <v>1</v>
      </c>
      <c r="B17" s="230" t="s">
        <v>506</v>
      </c>
      <c r="C17" s="170" t="s">
        <v>57</v>
      </c>
      <c r="D17" s="88" t="s">
        <v>154</v>
      </c>
      <c r="E17" s="29"/>
      <c r="F17" s="57"/>
      <c r="G17" s="60" t="s">
        <v>211</v>
      </c>
      <c r="H17" s="29" t="s">
        <v>492</v>
      </c>
      <c r="I17" s="29" t="s">
        <v>493</v>
      </c>
      <c r="J17" s="61" t="s">
        <v>494</v>
      </c>
    </row>
    <row r="18" spans="1:10" ht="15" customHeight="1" x14ac:dyDescent="0.3">
      <c r="A18" s="112">
        <v>2</v>
      </c>
      <c r="B18" s="230" t="s">
        <v>506</v>
      </c>
      <c r="C18" s="170" t="s">
        <v>57</v>
      </c>
      <c r="D18" s="88" t="s">
        <v>166</v>
      </c>
      <c r="E18" s="29"/>
      <c r="F18" s="57"/>
      <c r="G18" s="60" t="s">
        <v>211</v>
      </c>
      <c r="H18" s="29"/>
      <c r="I18" s="29"/>
      <c r="J18" s="61" t="s">
        <v>212</v>
      </c>
    </row>
    <row r="19" spans="1:10" ht="15" customHeight="1" x14ac:dyDescent="0.3">
      <c r="A19" s="112">
        <v>2</v>
      </c>
      <c r="B19" s="230" t="s">
        <v>506</v>
      </c>
      <c r="C19" s="170" t="s">
        <v>57</v>
      </c>
      <c r="D19" s="88" t="s">
        <v>12</v>
      </c>
      <c r="E19" s="29"/>
      <c r="F19" s="57"/>
      <c r="G19" s="60" t="s">
        <v>211</v>
      </c>
      <c r="H19" s="29"/>
      <c r="I19" s="29"/>
      <c r="J19" s="61" t="s">
        <v>212</v>
      </c>
    </row>
    <row r="20" spans="1:10" ht="15" customHeight="1" x14ac:dyDescent="0.3">
      <c r="A20" s="112">
        <v>2</v>
      </c>
      <c r="B20" s="230" t="s">
        <v>506</v>
      </c>
      <c r="C20" s="170" t="s">
        <v>57</v>
      </c>
      <c r="D20" s="36" t="s">
        <v>64</v>
      </c>
      <c r="E20" s="79" t="s">
        <v>173</v>
      </c>
      <c r="F20" s="80"/>
      <c r="G20" s="81"/>
      <c r="H20" s="79"/>
      <c r="I20" s="79"/>
      <c r="J20" s="82"/>
    </row>
    <row r="21" spans="1:10" ht="15" customHeight="1" x14ac:dyDescent="0.3">
      <c r="A21" s="112">
        <v>2</v>
      </c>
      <c r="B21" s="230" t="s">
        <v>506</v>
      </c>
      <c r="C21" s="170" t="s">
        <v>57</v>
      </c>
      <c r="D21" s="88" t="s">
        <v>73</v>
      </c>
      <c r="E21" s="29"/>
      <c r="F21" s="57"/>
      <c r="G21" s="60" t="s">
        <v>211</v>
      </c>
      <c r="H21" s="29"/>
      <c r="I21" s="29"/>
      <c r="J21" s="61" t="s">
        <v>212</v>
      </c>
    </row>
    <row r="22" spans="1:10" ht="15" customHeight="1" x14ac:dyDescent="0.3">
      <c r="A22" s="112">
        <v>2</v>
      </c>
      <c r="B22" s="230" t="s">
        <v>506</v>
      </c>
      <c r="C22" s="170" t="s">
        <v>57</v>
      </c>
      <c r="D22" s="36" t="s">
        <v>30</v>
      </c>
      <c r="E22" s="79" t="s">
        <v>173</v>
      </c>
      <c r="F22" s="80"/>
      <c r="G22" s="81"/>
      <c r="H22" s="79"/>
      <c r="I22" s="79"/>
      <c r="J22" s="82"/>
    </row>
    <row r="23" spans="1:10" ht="15" customHeight="1" x14ac:dyDescent="0.3">
      <c r="A23" s="111">
        <v>3</v>
      </c>
      <c r="B23" s="230" t="s">
        <v>506</v>
      </c>
      <c r="C23" s="170" t="s">
        <v>56</v>
      </c>
      <c r="D23" s="36" t="s">
        <v>20</v>
      </c>
      <c r="E23" s="79" t="s">
        <v>173</v>
      </c>
      <c r="F23" s="80"/>
      <c r="G23" s="81"/>
      <c r="H23" s="79"/>
      <c r="I23" s="79"/>
      <c r="J23" s="82"/>
    </row>
    <row r="24" spans="1:10" ht="15" customHeight="1" x14ac:dyDescent="0.3">
      <c r="A24" s="96">
        <v>1</v>
      </c>
      <c r="B24" s="230" t="s">
        <v>506</v>
      </c>
      <c r="C24" s="170" t="s">
        <v>56</v>
      </c>
      <c r="D24" s="88" t="s">
        <v>158</v>
      </c>
      <c r="E24" s="29"/>
      <c r="F24" s="57"/>
      <c r="G24" s="60" t="s">
        <v>211</v>
      </c>
      <c r="H24" s="29" t="s">
        <v>492</v>
      </c>
      <c r="I24" s="29" t="s">
        <v>493</v>
      </c>
      <c r="J24" s="61" t="s">
        <v>494</v>
      </c>
    </row>
    <row r="25" spans="1:10" ht="15" customHeight="1" x14ac:dyDescent="0.3">
      <c r="A25" s="96">
        <v>1</v>
      </c>
      <c r="B25" s="230" t="s">
        <v>506</v>
      </c>
      <c r="C25" s="170" t="s">
        <v>56</v>
      </c>
      <c r="D25" s="36" t="s">
        <v>155</v>
      </c>
      <c r="E25" s="79" t="s">
        <v>173</v>
      </c>
      <c r="F25" s="80"/>
      <c r="G25" s="81"/>
      <c r="H25" s="79"/>
      <c r="I25" s="79"/>
      <c r="J25" s="82"/>
    </row>
    <row r="26" spans="1:10" ht="15" customHeight="1" x14ac:dyDescent="0.3">
      <c r="A26" s="96">
        <v>1</v>
      </c>
      <c r="B26" s="230" t="s">
        <v>506</v>
      </c>
      <c r="C26" s="170" t="s">
        <v>56</v>
      </c>
      <c r="D26" s="88" t="s">
        <v>59</v>
      </c>
      <c r="E26" s="29"/>
      <c r="F26" s="57"/>
      <c r="G26" s="60" t="s">
        <v>211</v>
      </c>
      <c r="H26" s="29" t="s">
        <v>492</v>
      </c>
      <c r="I26" s="29" t="s">
        <v>493</v>
      </c>
      <c r="J26" s="61" t="s">
        <v>494</v>
      </c>
    </row>
    <row r="27" spans="1:10" ht="15" customHeight="1" x14ac:dyDescent="0.3">
      <c r="A27" s="97">
        <v>2</v>
      </c>
      <c r="B27" s="230" t="s">
        <v>506</v>
      </c>
      <c r="C27" s="170" t="s">
        <v>56</v>
      </c>
      <c r="D27" s="88" t="s">
        <v>18</v>
      </c>
      <c r="E27" s="29"/>
      <c r="F27" s="57"/>
      <c r="G27" s="60" t="s">
        <v>329</v>
      </c>
      <c r="H27" s="29" t="s">
        <v>211</v>
      </c>
      <c r="I27" s="29"/>
      <c r="J27" s="61" t="s">
        <v>212</v>
      </c>
    </row>
    <row r="28" spans="1:10" ht="15" customHeight="1" x14ac:dyDescent="0.3">
      <c r="A28" s="97">
        <v>2</v>
      </c>
      <c r="B28" s="230" t="s">
        <v>506</v>
      </c>
      <c r="C28" s="170" t="s">
        <v>56</v>
      </c>
      <c r="D28" s="88" t="s">
        <v>19</v>
      </c>
      <c r="E28" s="29"/>
      <c r="F28" s="57"/>
      <c r="G28" s="60" t="s">
        <v>329</v>
      </c>
      <c r="H28" s="29" t="s">
        <v>211</v>
      </c>
      <c r="I28" s="29"/>
      <c r="J28" s="61" t="s">
        <v>212</v>
      </c>
    </row>
    <row r="29" spans="1:10" ht="15" customHeight="1" x14ac:dyDescent="0.3">
      <c r="A29" s="97">
        <v>2</v>
      </c>
      <c r="B29" s="230" t="s">
        <v>506</v>
      </c>
      <c r="C29" s="170" t="s">
        <v>56</v>
      </c>
      <c r="D29" s="88" t="s">
        <v>156</v>
      </c>
      <c r="E29" s="29"/>
      <c r="F29" s="57"/>
      <c r="G29" s="60" t="s">
        <v>211</v>
      </c>
      <c r="H29" s="29"/>
      <c r="I29" s="29"/>
      <c r="J29" s="61" t="s">
        <v>212</v>
      </c>
    </row>
    <row r="30" spans="1:10" ht="15" customHeight="1" x14ac:dyDescent="0.3">
      <c r="A30" s="97">
        <v>1</v>
      </c>
      <c r="B30" s="230" t="s">
        <v>506</v>
      </c>
      <c r="C30" s="170" t="s">
        <v>56</v>
      </c>
      <c r="D30" s="88" t="s">
        <v>131</v>
      </c>
      <c r="E30" s="29"/>
      <c r="F30" s="57"/>
      <c r="G30" s="60" t="s">
        <v>211</v>
      </c>
      <c r="H30" s="29"/>
      <c r="I30" s="29"/>
      <c r="J30" s="61" t="s">
        <v>212</v>
      </c>
    </row>
    <row r="31" spans="1:10" ht="15" customHeight="1" x14ac:dyDescent="0.3">
      <c r="A31" s="97">
        <v>1</v>
      </c>
      <c r="B31" s="230" t="s">
        <v>506</v>
      </c>
      <c r="C31" s="170" t="s">
        <v>56</v>
      </c>
      <c r="D31" s="36" t="s">
        <v>58</v>
      </c>
      <c r="E31" s="79" t="s">
        <v>173</v>
      </c>
      <c r="F31" s="80"/>
      <c r="G31" s="81"/>
      <c r="H31" s="79"/>
      <c r="I31" s="79"/>
      <c r="J31" s="82"/>
    </row>
    <row r="32" spans="1:10" ht="15" customHeight="1" x14ac:dyDescent="0.3">
      <c r="A32" s="97">
        <v>1</v>
      </c>
      <c r="B32" s="230" t="s">
        <v>506</v>
      </c>
      <c r="C32" s="170" t="s">
        <v>55</v>
      </c>
      <c r="D32" s="88" t="s">
        <v>31</v>
      </c>
      <c r="E32" s="29"/>
      <c r="F32" s="57"/>
      <c r="G32" s="60" t="s">
        <v>211</v>
      </c>
      <c r="H32" s="29" t="s">
        <v>492</v>
      </c>
      <c r="I32" s="29" t="s">
        <v>493</v>
      </c>
      <c r="J32" s="61" t="s">
        <v>494</v>
      </c>
    </row>
    <row r="33" spans="1:10" ht="15" customHeight="1" x14ac:dyDescent="0.3">
      <c r="A33" s="97">
        <v>1</v>
      </c>
      <c r="B33" s="230" t="s">
        <v>506</v>
      </c>
      <c r="C33" s="170" t="s">
        <v>55</v>
      </c>
      <c r="D33" s="88" t="s">
        <v>32</v>
      </c>
      <c r="E33" s="29"/>
      <c r="F33" s="57"/>
      <c r="G33" s="60" t="s">
        <v>211</v>
      </c>
      <c r="H33" s="29" t="s">
        <v>492</v>
      </c>
      <c r="I33" s="29" t="s">
        <v>493</v>
      </c>
      <c r="J33" s="61" t="s">
        <v>494</v>
      </c>
    </row>
    <row r="34" spans="1:10" ht="15" customHeight="1" x14ac:dyDescent="0.3">
      <c r="A34" s="97">
        <v>2</v>
      </c>
      <c r="B34" s="230" t="s">
        <v>506</v>
      </c>
      <c r="C34" s="170" t="s">
        <v>55</v>
      </c>
      <c r="D34" s="88" t="s">
        <v>51</v>
      </c>
      <c r="E34" s="29"/>
      <c r="F34" s="57"/>
      <c r="G34" s="60" t="s">
        <v>211</v>
      </c>
      <c r="H34" s="29" t="s">
        <v>492</v>
      </c>
      <c r="I34" s="29" t="s">
        <v>493</v>
      </c>
      <c r="J34" s="61" t="s">
        <v>494</v>
      </c>
    </row>
    <row r="35" spans="1:10" ht="15" customHeight="1" x14ac:dyDescent="0.3">
      <c r="A35" s="97">
        <v>2</v>
      </c>
      <c r="B35" s="230" t="s">
        <v>506</v>
      </c>
      <c r="C35" s="170" t="s">
        <v>55</v>
      </c>
      <c r="D35" s="36" t="s">
        <v>54</v>
      </c>
      <c r="E35" s="79" t="s">
        <v>173</v>
      </c>
      <c r="F35" s="80"/>
      <c r="G35" s="81"/>
      <c r="H35" s="79"/>
      <c r="I35" s="79"/>
      <c r="J35" s="82"/>
    </row>
    <row r="36" spans="1:10" ht="15" customHeight="1" x14ac:dyDescent="0.3">
      <c r="A36" s="97">
        <v>2</v>
      </c>
      <c r="B36" s="230" t="s">
        <v>506</v>
      </c>
      <c r="C36" s="170" t="s">
        <v>55</v>
      </c>
      <c r="D36" s="88" t="s">
        <v>52</v>
      </c>
      <c r="E36" s="29"/>
      <c r="F36" s="57"/>
      <c r="G36" s="60" t="s">
        <v>211</v>
      </c>
      <c r="H36" s="29" t="s">
        <v>492</v>
      </c>
      <c r="I36" s="29" t="s">
        <v>493</v>
      </c>
      <c r="J36" s="61" t="s">
        <v>494</v>
      </c>
    </row>
    <row r="37" spans="1:10" ht="15" customHeight="1" x14ac:dyDescent="0.3">
      <c r="A37" s="97">
        <v>2</v>
      </c>
      <c r="B37" s="230" t="s">
        <v>506</v>
      </c>
      <c r="C37" s="170" t="s">
        <v>55</v>
      </c>
      <c r="D37" s="36" t="s">
        <v>53</v>
      </c>
      <c r="E37" s="79" t="s">
        <v>173</v>
      </c>
      <c r="F37" s="80"/>
      <c r="G37" s="81"/>
      <c r="H37" s="79"/>
      <c r="I37" s="79"/>
      <c r="J37" s="82"/>
    </row>
    <row r="38" spans="1:10" ht="15" customHeight="1" x14ac:dyDescent="0.3">
      <c r="A38" s="97">
        <v>2</v>
      </c>
      <c r="B38" s="230" t="s">
        <v>506</v>
      </c>
      <c r="C38" s="170" t="s">
        <v>55</v>
      </c>
      <c r="D38" s="88" t="s">
        <v>87</v>
      </c>
      <c r="E38" s="29"/>
      <c r="F38" s="57"/>
      <c r="G38" s="60" t="s">
        <v>211</v>
      </c>
      <c r="H38" s="29"/>
      <c r="I38" s="29"/>
      <c r="J38" s="61" t="s">
        <v>212</v>
      </c>
    </row>
    <row r="39" spans="1:10" ht="15" customHeight="1" x14ac:dyDescent="0.3">
      <c r="A39" s="97">
        <v>2</v>
      </c>
      <c r="B39" s="230" t="s">
        <v>506</v>
      </c>
      <c r="C39" s="170" t="s">
        <v>55</v>
      </c>
      <c r="D39" s="88" t="s">
        <v>88</v>
      </c>
      <c r="E39" s="29"/>
      <c r="F39" s="57"/>
      <c r="G39" s="60" t="s">
        <v>211</v>
      </c>
      <c r="H39" s="29"/>
      <c r="I39" s="29"/>
      <c r="J39" s="61" t="s">
        <v>212</v>
      </c>
    </row>
    <row r="40" spans="1:10" ht="15" customHeight="1" x14ac:dyDescent="0.3">
      <c r="A40" s="97">
        <v>2</v>
      </c>
      <c r="B40" s="230" t="s">
        <v>506</v>
      </c>
      <c r="C40" s="170" t="s">
        <v>55</v>
      </c>
      <c r="D40" s="88" t="s">
        <v>89</v>
      </c>
      <c r="E40" s="29"/>
      <c r="F40" s="57"/>
      <c r="G40" s="60" t="s">
        <v>211</v>
      </c>
      <c r="H40" s="29"/>
      <c r="I40" s="29"/>
      <c r="J40" s="61" t="s">
        <v>212</v>
      </c>
    </row>
    <row r="41" spans="1:10" ht="15" customHeight="1" x14ac:dyDescent="0.3">
      <c r="A41" s="97">
        <v>2</v>
      </c>
      <c r="B41" s="230" t="s">
        <v>506</v>
      </c>
      <c r="C41" s="170" t="s">
        <v>55</v>
      </c>
      <c r="D41" s="88" t="s">
        <v>90</v>
      </c>
      <c r="E41" s="29"/>
      <c r="F41" s="57"/>
      <c r="G41" s="60" t="s">
        <v>211</v>
      </c>
      <c r="H41" s="29"/>
      <c r="I41" s="29"/>
      <c r="J41" s="61" t="s">
        <v>212</v>
      </c>
    </row>
    <row r="42" spans="1:10" ht="15" customHeight="1" x14ac:dyDescent="0.3">
      <c r="A42" s="116">
        <v>3</v>
      </c>
      <c r="B42" s="230" t="s">
        <v>506</v>
      </c>
      <c r="C42" s="170" t="s">
        <v>55</v>
      </c>
      <c r="D42" s="36" t="s">
        <v>74</v>
      </c>
      <c r="E42" s="79" t="s">
        <v>173</v>
      </c>
      <c r="F42" s="80"/>
      <c r="G42" s="81"/>
      <c r="H42" s="79"/>
      <c r="I42" s="79"/>
      <c r="J42" s="82"/>
    </row>
    <row r="43" spans="1:10" ht="15" customHeight="1" x14ac:dyDescent="0.3">
      <c r="A43" s="44">
        <v>2</v>
      </c>
      <c r="B43" s="230" t="s">
        <v>506</v>
      </c>
      <c r="C43" s="170" t="s">
        <v>28</v>
      </c>
      <c r="D43" s="88" t="s">
        <v>75</v>
      </c>
      <c r="E43" s="29" t="s">
        <v>10</v>
      </c>
      <c r="F43" s="57"/>
      <c r="G43" s="60" t="s">
        <v>329</v>
      </c>
      <c r="H43" s="29" t="s">
        <v>211</v>
      </c>
      <c r="I43" s="29"/>
      <c r="J43" s="61" t="s">
        <v>212</v>
      </c>
    </row>
    <row r="44" spans="1:10" ht="15" customHeight="1" x14ac:dyDescent="0.3">
      <c r="A44" s="44">
        <v>1</v>
      </c>
      <c r="B44" s="230" t="s">
        <v>506</v>
      </c>
      <c r="C44" s="170" t="s">
        <v>28</v>
      </c>
      <c r="D44" s="36" t="s">
        <v>65</v>
      </c>
      <c r="E44" s="79" t="s">
        <v>173</v>
      </c>
      <c r="F44" s="80"/>
      <c r="G44" s="81"/>
      <c r="H44" s="79"/>
      <c r="I44" s="79"/>
      <c r="J44" s="82"/>
    </row>
    <row r="45" spans="1:10" ht="15" customHeight="1" x14ac:dyDescent="0.3">
      <c r="A45" s="44">
        <v>2</v>
      </c>
      <c r="B45" s="230" t="s">
        <v>506</v>
      </c>
      <c r="C45" s="170" t="s">
        <v>28</v>
      </c>
      <c r="D45" s="88" t="s">
        <v>132</v>
      </c>
      <c r="E45" s="29"/>
      <c r="F45" s="57"/>
      <c r="G45" s="60" t="s">
        <v>329</v>
      </c>
      <c r="H45" s="29" t="s">
        <v>211</v>
      </c>
      <c r="I45" s="29"/>
      <c r="J45" s="61" t="s">
        <v>212</v>
      </c>
    </row>
    <row r="46" spans="1:10" ht="15" customHeight="1" x14ac:dyDescent="0.3">
      <c r="A46" s="44">
        <v>1</v>
      </c>
      <c r="B46" s="230" t="s">
        <v>506</v>
      </c>
      <c r="C46" s="170" t="s">
        <v>28</v>
      </c>
      <c r="D46" s="88" t="s">
        <v>21</v>
      </c>
      <c r="E46" s="29"/>
      <c r="F46" s="57"/>
      <c r="G46" s="60" t="s">
        <v>211</v>
      </c>
      <c r="H46" s="29" t="s">
        <v>394</v>
      </c>
      <c r="I46" s="29" t="s">
        <v>395</v>
      </c>
      <c r="J46" s="61" t="s">
        <v>396</v>
      </c>
    </row>
    <row r="47" spans="1:10" ht="15" customHeight="1" x14ac:dyDescent="0.3">
      <c r="A47" s="44">
        <v>1</v>
      </c>
      <c r="B47" s="230" t="s">
        <v>506</v>
      </c>
      <c r="C47" s="170" t="s">
        <v>28</v>
      </c>
      <c r="D47" s="36" t="s">
        <v>77</v>
      </c>
      <c r="E47" s="79" t="s">
        <v>173</v>
      </c>
      <c r="F47" s="80"/>
      <c r="G47" s="81"/>
      <c r="H47" s="79"/>
      <c r="I47" s="79"/>
      <c r="J47" s="82"/>
    </row>
    <row r="48" spans="1:10" ht="15" customHeight="1" x14ac:dyDescent="0.3">
      <c r="A48" s="44">
        <v>2</v>
      </c>
      <c r="B48" s="230" t="s">
        <v>506</v>
      </c>
      <c r="C48" s="170" t="s">
        <v>28</v>
      </c>
      <c r="D48" s="88" t="s">
        <v>78</v>
      </c>
      <c r="E48" s="29"/>
      <c r="F48" s="57"/>
      <c r="G48" s="60" t="s">
        <v>329</v>
      </c>
      <c r="H48" s="29" t="s">
        <v>211</v>
      </c>
      <c r="I48" s="29"/>
      <c r="J48" s="61" t="s">
        <v>212</v>
      </c>
    </row>
    <row r="49" spans="1:10" ht="15" customHeight="1" thickBot="1" x14ac:dyDescent="0.35">
      <c r="A49" s="116">
        <v>3</v>
      </c>
      <c r="B49" s="230" t="s">
        <v>506</v>
      </c>
      <c r="C49" s="170" t="s">
        <v>28</v>
      </c>
      <c r="D49" s="88" t="s">
        <v>76</v>
      </c>
      <c r="E49" s="29"/>
      <c r="F49" s="57"/>
      <c r="G49" s="62" t="s">
        <v>329</v>
      </c>
      <c r="H49" s="63" t="s">
        <v>211</v>
      </c>
      <c r="I49" s="63"/>
      <c r="J49" s="64" t="s">
        <v>212</v>
      </c>
    </row>
  </sheetData>
  <autoFilter ref="A2:J49" xr:uid="{140A027F-D274-41B6-864B-A92E3D60F6A2}"/>
  <mergeCells count="2">
    <mergeCell ref="G1:J1"/>
    <mergeCell ref="A1:F1"/>
  </mergeCells>
  <phoneticPr fontId="4" type="noConversion"/>
  <conditionalFormatting sqref="A1:B1048576">
    <cfRule type="colorScale" priority="1">
      <colorScale>
        <cfvo type="num" val="1"/>
        <cfvo type="num" val="2"/>
        <cfvo type="num" val="3"/>
        <color theme="9" tint="0.79998168889431442"/>
        <color theme="9" tint="0.39997558519241921"/>
        <color theme="9" tint="-0.499984740745262"/>
      </colorScale>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9"/>
  <sheetViews>
    <sheetView showGridLines="0" zoomScale="85" zoomScaleNormal="85" workbookViewId="0">
      <pane xSplit="6" ySplit="2" topLeftCell="G3" activePane="bottomRight" state="frozen"/>
      <selection pane="topRight" activeCell="F1" sqref="F1"/>
      <selection pane="bottomLeft" activeCell="A2" sqref="A2"/>
      <selection pane="bottomRight" activeCell="A3" sqref="A3:XFD27"/>
    </sheetView>
  </sheetViews>
  <sheetFormatPr defaultColWidth="11.44140625" defaultRowHeight="13.5" customHeight="1" x14ac:dyDescent="0.3"/>
  <cols>
    <col min="1" max="1" width="8" style="25" customWidth="1"/>
    <col min="2" max="2" width="22.109375" style="25" customWidth="1"/>
    <col min="3" max="3" width="8.77734375" style="20" customWidth="1"/>
    <col min="4" max="4" width="116.44140625" style="189" customWidth="1"/>
    <col min="5" max="5" width="38.5546875" style="190" customWidth="1"/>
    <col min="6" max="6" width="19.21875" style="189" customWidth="1"/>
    <col min="7" max="7" width="11.44140625" style="189"/>
    <col min="8" max="8" width="10" style="189" customWidth="1"/>
    <col min="9" max="9" width="13.44140625" style="189" customWidth="1"/>
    <col min="10" max="10" width="11.44140625" style="189"/>
    <col min="11" max="16384" width="11.44140625" style="20"/>
  </cols>
  <sheetData>
    <row r="1" spans="1:15" s="25" customFormat="1" ht="15.75" customHeight="1" x14ac:dyDescent="0.3">
      <c r="A1" s="354" t="s">
        <v>199</v>
      </c>
      <c r="B1" s="354"/>
      <c r="C1" s="354"/>
      <c r="D1" s="354"/>
      <c r="E1" s="354"/>
      <c r="F1" s="355"/>
      <c r="G1" s="356" t="s">
        <v>200</v>
      </c>
      <c r="H1" s="357"/>
      <c r="I1" s="357"/>
      <c r="J1" s="358"/>
      <c r="K1" s="41"/>
      <c r="L1" s="41"/>
      <c r="M1" s="41"/>
      <c r="N1" s="41"/>
      <c r="O1" s="41"/>
    </row>
    <row r="2" spans="1:15" s="25" customFormat="1" ht="18.75" customHeight="1" x14ac:dyDescent="0.3">
      <c r="A2" s="25" t="s">
        <v>477</v>
      </c>
      <c r="B2" s="25" t="s">
        <v>502</v>
      </c>
      <c r="C2" s="13" t="s">
        <v>252</v>
      </c>
      <c r="D2" s="172" t="s">
        <v>201</v>
      </c>
      <c r="E2" s="108" t="s">
        <v>181</v>
      </c>
      <c r="F2" s="173" t="s">
        <v>198</v>
      </c>
      <c r="G2" s="174">
        <v>1</v>
      </c>
      <c r="H2" s="175">
        <v>2</v>
      </c>
      <c r="I2" s="175">
        <v>3</v>
      </c>
      <c r="J2" s="176">
        <v>4</v>
      </c>
      <c r="K2" s="41"/>
      <c r="L2" s="41"/>
      <c r="M2" s="41"/>
      <c r="N2" s="41"/>
      <c r="O2" s="41"/>
    </row>
    <row r="3" spans="1:15" s="25" customFormat="1" ht="15.75" customHeight="1" x14ac:dyDescent="0.3">
      <c r="A3" s="171">
        <v>1</v>
      </c>
      <c r="B3" s="231" t="s">
        <v>507</v>
      </c>
      <c r="C3" s="90" t="s">
        <v>23</v>
      </c>
      <c r="D3" s="30" t="s">
        <v>323</v>
      </c>
      <c r="E3" s="108"/>
      <c r="F3" s="173"/>
      <c r="G3" s="177" t="s">
        <v>324</v>
      </c>
      <c r="H3" s="6" t="s">
        <v>325</v>
      </c>
      <c r="I3" s="6" t="s">
        <v>326</v>
      </c>
      <c r="J3" s="178" t="s">
        <v>327</v>
      </c>
      <c r="K3" s="41"/>
      <c r="L3" s="41"/>
      <c r="M3" s="41"/>
      <c r="N3" s="41"/>
      <c r="O3" s="41"/>
    </row>
    <row r="4" spans="1:15" ht="13.5" customHeight="1" x14ac:dyDescent="0.3">
      <c r="A4" s="171">
        <v>2</v>
      </c>
      <c r="B4" s="231" t="s">
        <v>507</v>
      </c>
      <c r="C4" s="90" t="s">
        <v>23</v>
      </c>
      <c r="D4" s="30" t="s">
        <v>91</v>
      </c>
      <c r="E4" s="7"/>
      <c r="F4" s="179" t="s">
        <v>322</v>
      </c>
      <c r="G4" s="177" t="s">
        <v>211</v>
      </c>
      <c r="H4" s="6" t="s">
        <v>319</v>
      </c>
      <c r="I4" s="6" t="s">
        <v>320</v>
      </c>
      <c r="J4" s="178" t="s">
        <v>321</v>
      </c>
    </row>
    <row r="5" spans="1:15" ht="13.5" customHeight="1" x14ac:dyDescent="0.3">
      <c r="A5" s="171">
        <v>2</v>
      </c>
      <c r="B5" s="231" t="s">
        <v>507</v>
      </c>
      <c r="C5" s="90" t="s">
        <v>23</v>
      </c>
      <c r="D5" s="6" t="s">
        <v>92</v>
      </c>
      <c r="E5" s="7"/>
      <c r="F5" s="180"/>
      <c r="G5" s="177" t="s">
        <v>211</v>
      </c>
      <c r="H5" s="6" t="s">
        <v>319</v>
      </c>
      <c r="I5" s="6" t="s">
        <v>320</v>
      </c>
      <c r="J5" s="178" t="s">
        <v>321</v>
      </c>
    </row>
    <row r="6" spans="1:15" ht="13.5" customHeight="1" x14ac:dyDescent="0.3">
      <c r="A6" s="171">
        <v>1</v>
      </c>
      <c r="B6" s="231" t="s">
        <v>507</v>
      </c>
      <c r="C6" s="90" t="s">
        <v>23</v>
      </c>
      <c r="D6" s="6" t="s">
        <v>94</v>
      </c>
      <c r="E6" s="7"/>
      <c r="F6" s="180"/>
      <c r="G6" s="177" t="s">
        <v>211</v>
      </c>
      <c r="H6" s="6" t="s">
        <v>319</v>
      </c>
      <c r="I6" s="6" t="s">
        <v>320</v>
      </c>
      <c r="J6" s="178" t="s">
        <v>321</v>
      </c>
    </row>
    <row r="7" spans="1:15" ht="13.5" customHeight="1" x14ac:dyDescent="0.3">
      <c r="A7" s="112">
        <v>2</v>
      </c>
      <c r="B7" s="231" t="s">
        <v>507</v>
      </c>
      <c r="C7" s="90" t="s">
        <v>23</v>
      </c>
      <c r="D7" s="6" t="s">
        <v>93</v>
      </c>
      <c r="E7" s="7"/>
      <c r="F7" s="180"/>
      <c r="G7" s="177" t="s">
        <v>211</v>
      </c>
      <c r="H7" s="6" t="s">
        <v>319</v>
      </c>
      <c r="I7" s="6"/>
      <c r="J7" s="178" t="s">
        <v>212</v>
      </c>
    </row>
    <row r="8" spans="1:15" ht="13.5" customHeight="1" x14ac:dyDescent="0.3">
      <c r="A8" s="111">
        <v>3</v>
      </c>
      <c r="B8" s="231" t="s">
        <v>507</v>
      </c>
      <c r="C8" s="90" t="s">
        <v>23</v>
      </c>
      <c r="D8" s="55" t="s">
        <v>24</v>
      </c>
      <c r="E8" s="37" t="s">
        <v>173</v>
      </c>
      <c r="F8" s="181"/>
      <c r="G8" s="182"/>
      <c r="H8" s="55"/>
      <c r="I8" s="55"/>
      <c r="J8" s="183"/>
    </row>
    <row r="9" spans="1:15" ht="13.5" customHeight="1" x14ac:dyDescent="0.3">
      <c r="A9" s="171">
        <v>1</v>
      </c>
      <c r="B9" s="231" t="s">
        <v>507</v>
      </c>
      <c r="C9" s="90" t="s">
        <v>23</v>
      </c>
      <c r="D9" s="30" t="s">
        <v>67</v>
      </c>
      <c r="E9" s="7"/>
      <c r="F9" s="180"/>
      <c r="G9" s="177" t="s">
        <v>211</v>
      </c>
      <c r="H9" s="6" t="s">
        <v>328</v>
      </c>
      <c r="I9" s="6" t="s">
        <v>320</v>
      </c>
      <c r="J9" s="178" t="s">
        <v>321</v>
      </c>
    </row>
    <row r="10" spans="1:15" ht="13.5" customHeight="1" x14ac:dyDescent="0.3">
      <c r="A10" s="171">
        <v>2</v>
      </c>
      <c r="B10" s="231" t="s">
        <v>507</v>
      </c>
      <c r="C10" s="90" t="s">
        <v>23</v>
      </c>
      <c r="D10" s="30" t="s">
        <v>495</v>
      </c>
      <c r="E10" s="7"/>
      <c r="F10" s="180"/>
      <c r="G10" s="177" t="s">
        <v>329</v>
      </c>
      <c r="H10" s="6" t="s">
        <v>330</v>
      </c>
      <c r="I10" s="6" t="s">
        <v>331</v>
      </c>
      <c r="J10" s="178" t="s">
        <v>332</v>
      </c>
    </row>
    <row r="11" spans="1:15" ht="13.5" customHeight="1" x14ac:dyDescent="0.3">
      <c r="A11" s="114">
        <v>3</v>
      </c>
      <c r="B11" s="231" t="s">
        <v>507</v>
      </c>
      <c r="C11" s="90" t="s">
        <v>23</v>
      </c>
      <c r="D11" s="6" t="s">
        <v>135</v>
      </c>
      <c r="E11" s="7"/>
      <c r="F11" s="180"/>
      <c r="G11" s="177" t="s">
        <v>285</v>
      </c>
      <c r="H11" s="6" t="s">
        <v>211</v>
      </c>
      <c r="I11" s="6" t="s">
        <v>333</v>
      </c>
      <c r="J11" s="178" t="s">
        <v>334</v>
      </c>
    </row>
    <row r="12" spans="1:15" ht="13.5" customHeight="1" x14ac:dyDescent="0.3">
      <c r="A12" s="98">
        <v>3</v>
      </c>
      <c r="B12" s="231" t="s">
        <v>507</v>
      </c>
      <c r="C12" s="90" t="s">
        <v>23</v>
      </c>
      <c r="D12" s="55" t="s">
        <v>126</v>
      </c>
      <c r="E12" s="37" t="s">
        <v>173</v>
      </c>
      <c r="F12" s="181"/>
      <c r="G12" s="182"/>
      <c r="H12" s="55"/>
      <c r="I12" s="55"/>
      <c r="J12" s="183"/>
    </row>
    <row r="13" spans="1:15" ht="13.5" customHeight="1" x14ac:dyDescent="0.3">
      <c r="A13" s="113">
        <v>1</v>
      </c>
      <c r="B13" s="231" t="s">
        <v>507</v>
      </c>
      <c r="C13" s="90" t="s">
        <v>26</v>
      </c>
      <c r="D13" s="30" t="s">
        <v>25</v>
      </c>
      <c r="E13" s="7"/>
      <c r="F13" s="180"/>
      <c r="G13" s="177" t="s">
        <v>329</v>
      </c>
      <c r="H13" s="6" t="s">
        <v>211</v>
      </c>
      <c r="I13" s="6" t="s">
        <v>339</v>
      </c>
      <c r="J13" s="178" t="s">
        <v>212</v>
      </c>
    </row>
    <row r="14" spans="1:15" ht="13.5" customHeight="1" x14ac:dyDescent="0.3">
      <c r="A14" s="113">
        <v>1</v>
      </c>
      <c r="B14" s="231" t="s">
        <v>507</v>
      </c>
      <c r="C14" s="90" t="s">
        <v>26</v>
      </c>
      <c r="D14" s="6" t="s">
        <v>137</v>
      </c>
      <c r="E14" s="7"/>
      <c r="F14" s="180"/>
      <c r="G14" s="177" t="s">
        <v>329</v>
      </c>
      <c r="H14" s="6" t="s">
        <v>211</v>
      </c>
      <c r="I14" s="6" t="s">
        <v>318</v>
      </c>
      <c r="J14" s="178" t="s">
        <v>212</v>
      </c>
    </row>
    <row r="15" spans="1:15" ht="13.5" customHeight="1" x14ac:dyDescent="0.3">
      <c r="A15" s="113">
        <v>1</v>
      </c>
      <c r="B15" s="231" t="s">
        <v>507</v>
      </c>
      <c r="C15" s="90" t="s">
        <v>26</v>
      </c>
      <c r="D15" s="30" t="s">
        <v>138</v>
      </c>
      <c r="E15" s="7"/>
      <c r="F15" s="180"/>
      <c r="G15" s="177" t="s">
        <v>329</v>
      </c>
      <c r="H15" s="6" t="s">
        <v>211</v>
      </c>
      <c r="I15" s="6" t="s">
        <v>318</v>
      </c>
      <c r="J15" s="178" t="s">
        <v>212</v>
      </c>
    </row>
    <row r="16" spans="1:15" ht="13.5" customHeight="1" x14ac:dyDescent="0.3">
      <c r="A16" s="113">
        <v>1</v>
      </c>
      <c r="B16" s="231" t="s">
        <v>507</v>
      </c>
      <c r="C16" s="90" t="s">
        <v>26</v>
      </c>
      <c r="D16" s="55" t="s">
        <v>136</v>
      </c>
      <c r="E16" s="37"/>
      <c r="F16" s="181"/>
      <c r="G16" s="182"/>
      <c r="H16" s="55"/>
      <c r="I16" s="55"/>
      <c r="J16" s="183"/>
    </row>
    <row r="17" spans="1:10" ht="13.5" customHeight="1" x14ac:dyDescent="0.3">
      <c r="A17" s="171">
        <v>2</v>
      </c>
      <c r="B17" s="231" t="s">
        <v>507</v>
      </c>
      <c r="C17" s="90" t="s">
        <v>26</v>
      </c>
      <c r="D17" s="6" t="s">
        <v>139</v>
      </c>
      <c r="E17" s="7"/>
      <c r="F17" s="180"/>
      <c r="G17" s="177" t="s">
        <v>329</v>
      </c>
      <c r="H17" s="6" t="s">
        <v>211</v>
      </c>
      <c r="I17" s="6" t="s">
        <v>318</v>
      </c>
      <c r="J17" s="178" t="s">
        <v>212</v>
      </c>
    </row>
    <row r="18" spans="1:10" ht="13.5" customHeight="1" x14ac:dyDescent="0.3">
      <c r="A18" s="112">
        <v>2</v>
      </c>
      <c r="B18" s="231" t="s">
        <v>507</v>
      </c>
      <c r="C18" s="90" t="s">
        <v>26</v>
      </c>
      <c r="D18" s="55" t="s">
        <v>22</v>
      </c>
      <c r="E18" s="37" t="s">
        <v>173</v>
      </c>
      <c r="F18" s="181"/>
      <c r="G18" s="182"/>
      <c r="H18" s="55"/>
      <c r="I18" s="55"/>
      <c r="J18" s="183"/>
    </row>
    <row r="19" spans="1:10" ht="13.5" customHeight="1" x14ac:dyDescent="0.3">
      <c r="A19" s="112">
        <v>1</v>
      </c>
      <c r="B19" s="231" t="s">
        <v>507</v>
      </c>
      <c r="C19" s="90" t="s">
        <v>26</v>
      </c>
      <c r="D19" s="6" t="s">
        <v>144</v>
      </c>
      <c r="E19" s="7"/>
      <c r="F19" s="180"/>
      <c r="G19" s="177" t="s">
        <v>329</v>
      </c>
      <c r="H19" s="6" t="s">
        <v>211</v>
      </c>
      <c r="I19" s="6" t="s">
        <v>318</v>
      </c>
      <c r="J19" s="178" t="s">
        <v>212</v>
      </c>
    </row>
    <row r="20" spans="1:10" ht="13.5" customHeight="1" x14ac:dyDescent="0.3">
      <c r="A20" s="112">
        <v>1</v>
      </c>
      <c r="B20" s="231" t="s">
        <v>507</v>
      </c>
      <c r="C20" s="90" t="s">
        <v>26</v>
      </c>
      <c r="D20" s="30" t="s">
        <v>190</v>
      </c>
      <c r="E20" s="7"/>
      <c r="F20" s="180"/>
      <c r="G20" s="177" t="s">
        <v>329</v>
      </c>
      <c r="H20" s="6" t="s">
        <v>211</v>
      </c>
      <c r="I20" s="6" t="s">
        <v>318</v>
      </c>
      <c r="J20" s="178" t="s">
        <v>212</v>
      </c>
    </row>
    <row r="21" spans="1:10" ht="13.5" customHeight="1" x14ac:dyDescent="0.3">
      <c r="A21" s="112">
        <v>1</v>
      </c>
      <c r="B21" s="231" t="s">
        <v>507</v>
      </c>
      <c r="C21" s="90" t="s">
        <v>26</v>
      </c>
      <c r="D21" s="55" t="s">
        <v>470</v>
      </c>
      <c r="E21" s="37" t="s">
        <v>173</v>
      </c>
      <c r="F21" s="181"/>
      <c r="G21" s="182"/>
      <c r="H21" s="55"/>
      <c r="I21" s="55"/>
      <c r="J21" s="183"/>
    </row>
    <row r="22" spans="1:10" ht="13.5" customHeight="1" x14ac:dyDescent="0.3">
      <c r="A22" s="112">
        <v>2</v>
      </c>
      <c r="B22" s="231" t="s">
        <v>507</v>
      </c>
      <c r="C22" s="90" t="s">
        <v>26</v>
      </c>
      <c r="D22" s="30" t="s">
        <v>191</v>
      </c>
      <c r="E22" s="7"/>
      <c r="F22" s="180"/>
      <c r="G22" s="177" t="s">
        <v>329</v>
      </c>
      <c r="H22" s="6" t="s">
        <v>211</v>
      </c>
      <c r="I22" s="6" t="s">
        <v>318</v>
      </c>
      <c r="J22" s="178" t="s">
        <v>212</v>
      </c>
    </row>
    <row r="23" spans="1:10" ht="13.5" customHeight="1" x14ac:dyDescent="0.3">
      <c r="A23" s="171">
        <v>2</v>
      </c>
      <c r="B23" s="231" t="s">
        <v>507</v>
      </c>
      <c r="C23" s="90" t="s">
        <v>26</v>
      </c>
      <c r="D23" s="55" t="s">
        <v>40</v>
      </c>
      <c r="E23" s="37" t="s">
        <v>173</v>
      </c>
      <c r="F23" s="181"/>
      <c r="G23" s="182"/>
      <c r="H23" s="55"/>
      <c r="I23" s="55"/>
      <c r="J23" s="183"/>
    </row>
    <row r="24" spans="1:10" ht="13.5" customHeight="1" x14ac:dyDescent="0.3">
      <c r="A24" s="111">
        <v>3</v>
      </c>
      <c r="B24" s="231" t="s">
        <v>507</v>
      </c>
      <c r="C24" s="90" t="s">
        <v>26</v>
      </c>
      <c r="D24" s="6" t="s">
        <v>86</v>
      </c>
      <c r="E24" s="7"/>
      <c r="F24" s="180"/>
      <c r="G24" s="177" t="s">
        <v>329</v>
      </c>
      <c r="H24" s="6" t="s">
        <v>211</v>
      </c>
      <c r="I24" s="6" t="s">
        <v>318</v>
      </c>
      <c r="J24" s="178" t="s">
        <v>212</v>
      </c>
    </row>
    <row r="25" spans="1:10" ht="13.5" customHeight="1" x14ac:dyDescent="0.3">
      <c r="A25" s="111">
        <v>3</v>
      </c>
      <c r="B25" s="231" t="s">
        <v>507</v>
      </c>
      <c r="C25" s="90" t="s">
        <v>26</v>
      </c>
      <c r="D25" s="30" t="s">
        <v>140</v>
      </c>
      <c r="E25" s="7"/>
      <c r="F25" s="180"/>
      <c r="G25" s="177" t="s">
        <v>329</v>
      </c>
      <c r="H25" s="6" t="s">
        <v>211</v>
      </c>
      <c r="I25" s="6" t="s">
        <v>335</v>
      </c>
      <c r="J25" s="178" t="s">
        <v>212</v>
      </c>
    </row>
    <row r="26" spans="1:10" s="16" customFormat="1" ht="16.5" customHeight="1" x14ac:dyDescent="0.3">
      <c r="A26" s="171">
        <v>2</v>
      </c>
      <c r="B26" s="231" t="s">
        <v>507</v>
      </c>
      <c r="C26" s="90" t="s">
        <v>26</v>
      </c>
      <c r="D26" s="6" t="s">
        <v>197</v>
      </c>
      <c r="E26" s="7"/>
      <c r="F26" s="184"/>
      <c r="G26" s="185" t="s">
        <v>211</v>
      </c>
      <c r="H26" s="122" t="s">
        <v>336</v>
      </c>
      <c r="I26" s="122" t="s">
        <v>337</v>
      </c>
      <c r="J26" s="138" t="s">
        <v>338</v>
      </c>
    </row>
    <row r="27" spans="1:10" ht="15.75" customHeight="1" thickBot="1" x14ac:dyDescent="0.35">
      <c r="A27" s="112">
        <v>2</v>
      </c>
      <c r="B27" s="231" t="s">
        <v>507</v>
      </c>
      <c r="C27" s="90" t="s">
        <v>26</v>
      </c>
      <c r="D27" s="55" t="s">
        <v>317</v>
      </c>
      <c r="E27" s="37"/>
      <c r="F27" s="181"/>
      <c r="G27" s="186"/>
      <c r="H27" s="187"/>
      <c r="I27" s="187"/>
      <c r="J27" s="188"/>
    </row>
    <row r="28" spans="1:10" ht="13.5" customHeight="1" x14ac:dyDescent="0.3">
      <c r="A28" s="44"/>
      <c r="B28" s="44"/>
    </row>
    <row r="29" spans="1:10" ht="13.5" customHeight="1" x14ac:dyDescent="0.3">
      <c r="A29" s="116"/>
      <c r="B29" s="116"/>
    </row>
  </sheetData>
  <autoFilter ref="A2:J27" xr:uid="{907A76D0-5047-4D2B-B921-BE9CBE75DAF7}"/>
  <mergeCells count="2">
    <mergeCell ref="A1:F1"/>
    <mergeCell ref="G1:J1"/>
  </mergeCells>
  <phoneticPr fontId="4" type="noConversion"/>
  <conditionalFormatting sqref="A1:B1048576">
    <cfRule type="colorScale" priority="1">
      <colorScale>
        <cfvo type="num" val="1"/>
        <cfvo type="num" val="2"/>
        <cfvo type="num" val="3"/>
        <color theme="9" tint="0.79998168889431442"/>
        <color theme="9" tint="0.39997558519241921"/>
        <color theme="9" tint="-0.499984740745262"/>
      </colorScale>
    </cfRule>
  </conditionalFormatting>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3"/>
  <sheetViews>
    <sheetView showGridLines="0" zoomScale="80" zoomScaleNormal="80" workbookViewId="0">
      <pane xSplit="6" ySplit="2" topLeftCell="G18" activePane="bottomRight" state="frozen"/>
      <selection pane="topRight" activeCell="F1" sqref="F1"/>
      <selection pane="bottomLeft" activeCell="A2" sqref="A2"/>
      <selection pane="bottomRight" activeCell="A3" sqref="A3:XFD48"/>
    </sheetView>
  </sheetViews>
  <sheetFormatPr defaultColWidth="11.44140625" defaultRowHeight="15.75" customHeight="1" x14ac:dyDescent="0.3"/>
  <cols>
    <col min="1" max="1" width="8" style="106" customWidth="1"/>
    <col min="2" max="2" width="28.6640625" style="106" customWidth="1"/>
    <col min="3" max="3" width="13.21875" style="228" customWidth="1"/>
    <col min="4" max="4" width="143.44140625" style="196" customWidth="1"/>
    <col min="5" max="5" width="28.21875" style="226" customWidth="1"/>
    <col min="6" max="6" width="25.5546875" style="196" customWidth="1"/>
    <col min="7" max="7" width="10.77734375" style="227" customWidth="1"/>
    <col min="8" max="10" width="10.77734375" style="196" customWidth="1"/>
    <col min="11" max="16384" width="11.44140625" style="22"/>
  </cols>
  <sheetData>
    <row r="1" spans="1:15" s="25" customFormat="1" ht="15.75" customHeight="1" x14ac:dyDescent="0.3">
      <c r="A1" s="359" t="s">
        <v>199</v>
      </c>
      <c r="B1" s="360"/>
      <c r="C1" s="360"/>
      <c r="D1" s="360"/>
      <c r="E1" s="360"/>
      <c r="F1" s="360"/>
      <c r="G1" s="346" t="s">
        <v>200</v>
      </c>
      <c r="H1" s="347"/>
      <c r="I1" s="347"/>
      <c r="J1" s="348"/>
      <c r="K1" s="41"/>
      <c r="L1" s="41"/>
      <c r="M1" s="41"/>
      <c r="N1" s="41"/>
      <c r="O1" s="41"/>
    </row>
    <row r="2" spans="1:15" s="40" customFormat="1" ht="18.75" customHeight="1" x14ac:dyDescent="0.3">
      <c r="A2" s="106" t="s">
        <v>477</v>
      </c>
      <c r="B2" s="106" t="s">
        <v>502</v>
      </c>
      <c r="C2" s="76" t="s">
        <v>252</v>
      </c>
      <c r="D2" s="191" t="s">
        <v>201</v>
      </c>
      <c r="E2" s="197" t="s">
        <v>350</v>
      </c>
      <c r="F2" s="198" t="s">
        <v>198</v>
      </c>
      <c r="G2" s="199">
        <v>1</v>
      </c>
      <c r="H2" s="200">
        <v>2</v>
      </c>
      <c r="I2" s="200">
        <v>3</v>
      </c>
      <c r="J2" s="201">
        <v>4</v>
      </c>
      <c r="K2" s="75"/>
      <c r="L2" s="75"/>
      <c r="M2" s="75"/>
      <c r="N2" s="75"/>
      <c r="O2" s="75"/>
    </row>
    <row r="3" spans="1:15" ht="15.75" customHeight="1" x14ac:dyDescent="0.3">
      <c r="A3" s="171">
        <v>1</v>
      </c>
      <c r="B3" s="231" t="s">
        <v>508</v>
      </c>
      <c r="C3" s="23" t="s">
        <v>257</v>
      </c>
      <c r="D3" s="94" t="s">
        <v>192</v>
      </c>
      <c r="E3" s="202"/>
      <c r="F3" s="203"/>
      <c r="G3" s="137" t="s">
        <v>211</v>
      </c>
      <c r="H3" s="56" t="s">
        <v>353</v>
      </c>
      <c r="I3" s="56" t="s">
        <v>352</v>
      </c>
      <c r="J3" s="92" t="s">
        <v>351</v>
      </c>
      <c r="K3" s="11"/>
    </row>
    <row r="4" spans="1:15" ht="15.75" customHeight="1" x14ac:dyDescent="0.3">
      <c r="A4" s="171">
        <v>1</v>
      </c>
      <c r="B4" s="231" t="s">
        <v>508</v>
      </c>
      <c r="C4" s="23" t="s">
        <v>257</v>
      </c>
      <c r="D4" s="94" t="s">
        <v>193</v>
      </c>
      <c r="E4" s="202"/>
      <c r="F4" s="203"/>
      <c r="G4" s="137" t="s">
        <v>211</v>
      </c>
      <c r="H4" s="56" t="s">
        <v>353</v>
      </c>
      <c r="I4" s="56" t="s">
        <v>352</v>
      </c>
      <c r="J4" s="92" t="s">
        <v>351</v>
      </c>
      <c r="K4" s="11"/>
    </row>
    <row r="5" spans="1:15" ht="15.75" customHeight="1" x14ac:dyDescent="0.3">
      <c r="A5" s="171">
        <v>1</v>
      </c>
      <c r="B5" s="231" t="s">
        <v>508</v>
      </c>
      <c r="C5" s="23" t="s">
        <v>257</v>
      </c>
      <c r="D5" s="36" t="s">
        <v>496</v>
      </c>
      <c r="E5" s="209"/>
      <c r="F5" s="213"/>
      <c r="G5" s="140"/>
      <c r="H5" s="36"/>
      <c r="I5" s="36"/>
      <c r="J5" s="39"/>
      <c r="K5" s="11"/>
    </row>
    <row r="6" spans="1:15" ht="15.75" customHeight="1" x14ac:dyDescent="0.3">
      <c r="A6" s="171">
        <v>2</v>
      </c>
      <c r="B6" s="231" t="s">
        <v>508</v>
      </c>
      <c r="C6" s="23" t="s">
        <v>257</v>
      </c>
      <c r="D6" s="94" t="s">
        <v>402</v>
      </c>
      <c r="E6" s="202"/>
      <c r="F6" s="203"/>
      <c r="G6" s="137" t="s">
        <v>403</v>
      </c>
      <c r="H6" s="56" t="s">
        <v>404</v>
      </c>
      <c r="I6" s="56" t="s">
        <v>405</v>
      </c>
      <c r="J6" s="92" t="s">
        <v>406</v>
      </c>
      <c r="K6" s="11"/>
    </row>
    <row r="7" spans="1:15" ht="15.75" customHeight="1" x14ac:dyDescent="0.3">
      <c r="A7" s="171">
        <v>1</v>
      </c>
      <c r="B7" s="231" t="s">
        <v>508</v>
      </c>
      <c r="C7" s="23" t="s">
        <v>13</v>
      </c>
      <c r="D7" s="94" t="s">
        <v>441</v>
      </c>
      <c r="E7" s="202"/>
      <c r="F7" s="203"/>
      <c r="G7" s="137" t="s">
        <v>211</v>
      </c>
      <c r="H7" s="56" t="s">
        <v>442</v>
      </c>
      <c r="I7" s="56" t="s">
        <v>443</v>
      </c>
      <c r="J7" s="92" t="s">
        <v>444</v>
      </c>
      <c r="K7" s="11"/>
    </row>
    <row r="8" spans="1:15" ht="15.75" customHeight="1" x14ac:dyDescent="0.3">
      <c r="A8" s="112">
        <v>2</v>
      </c>
      <c r="B8" s="231" t="s">
        <v>508</v>
      </c>
      <c r="C8" s="23" t="s">
        <v>13</v>
      </c>
      <c r="D8" s="94" t="s">
        <v>432</v>
      </c>
      <c r="E8" s="202"/>
      <c r="F8" s="203"/>
      <c r="G8" s="137" t="s">
        <v>211</v>
      </c>
      <c r="H8" s="56" t="s">
        <v>433</v>
      </c>
      <c r="I8" s="56" t="s">
        <v>434</v>
      </c>
      <c r="J8" s="92" t="s">
        <v>435</v>
      </c>
      <c r="K8" s="11"/>
    </row>
    <row r="9" spans="1:15" ht="15.75" customHeight="1" x14ac:dyDescent="0.3">
      <c r="A9" s="112">
        <v>2</v>
      </c>
      <c r="B9" s="231" t="s">
        <v>508</v>
      </c>
      <c r="C9" s="23" t="s">
        <v>13</v>
      </c>
      <c r="D9" s="194" t="s">
        <v>359</v>
      </c>
      <c r="E9" s="209" t="s">
        <v>173</v>
      </c>
      <c r="F9" s="213"/>
      <c r="G9" s="140"/>
      <c r="H9" s="214"/>
      <c r="I9" s="214"/>
      <c r="J9" s="215"/>
      <c r="K9" s="11"/>
    </row>
    <row r="10" spans="1:15" ht="15.75" customHeight="1" x14ac:dyDescent="0.3">
      <c r="A10" s="112">
        <v>2</v>
      </c>
      <c r="B10" s="231" t="s">
        <v>508</v>
      </c>
      <c r="C10" s="23" t="s">
        <v>13</v>
      </c>
      <c r="D10" s="127" t="s">
        <v>101</v>
      </c>
      <c r="E10" s="204"/>
      <c r="F10" s="205"/>
      <c r="G10" s="206" t="s">
        <v>211</v>
      </c>
      <c r="H10" s="207"/>
      <c r="I10" s="207"/>
      <c r="J10" s="208" t="s">
        <v>212</v>
      </c>
      <c r="K10" s="11"/>
    </row>
    <row r="11" spans="1:15" ht="15.75" customHeight="1" x14ac:dyDescent="0.3">
      <c r="A11" s="113">
        <v>1</v>
      </c>
      <c r="B11" s="231" t="s">
        <v>508</v>
      </c>
      <c r="C11" s="23" t="s">
        <v>13</v>
      </c>
      <c r="D11" s="193" t="s">
        <v>102</v>
      </c>
      <c r="E11" s="202"/>
      <c r="F11" s="203"/>
      <c r="G11" s="137" t="s">
        <v>211</v>
      </c>
      <c r="H11" s="94" t="s">
        <v>363</v>
      </c>
      <c r="I11" s="94" t="s">
        <v>364</v>
      </c>
      <c r="J11" s="95" t="s">
        <v>365</v>
      </c>
    </row>
    <row r="12" spans="1:15" ht="15.75" customHeight="1" x14ac:dyDescent="0.3">
      <c r="A12" s="113">
        <v>1</v>
      </c>
      <c r="B12" s="231" t="s">
        <v>508</v>
      </c>
      <c r="C12" s="23" t="s">
        <v>13</v>
      </c>
      <c r="D12" s="192" t="s">
        <v>95</v>
      </c>
      <c r="E12" s="202"/>
      <c r="F12" s="203"/>
      <c r="G12" s="137" t="s">
        <v>369</v>
      </c>
      <c r="H12" s="94" t="s">
        <v>370</v>
      </c>
      <c r="I12" s="94" t="s">
        <v>371</v>
      </c>
      <c r="J12" s="95" t="s">
        <v>372</v>
      </c>
    </row>
    <row r="13" spans="1:15" ht="15.75" customHeight="1" x14ac:dyDescent="0.3">
      <c r="A13" s="113">
        <v>1</v>
      </c>
      <c r="B13" s="231" t="s">
        <v>508</v>
      </c>
      <c r="C13" s="23" t="s">
        <v>13</v>
      </c>
      <c r="D13" s="194" t="s">
        <v>366</v>
      </c>
      <c r="E13" s="209" t="s">
        <v>367</v>
      </c>
      <c r="F13" s="210" t="s">
        <v>368</v>
      </c>
      <c r="G13" s="139"/>
      <c r="H13" s="194"/>
      <c r="I13" s="194"/>
      <c r="J13" s="211"/>
    </row>
    <row r="14" spans="1:15" ht="15.75" customHeight="1" x14ac:dyDescent="0.3">
      <c r="A14" s="171">
        <v>2</v>
      </c>
      <c r="B14" s="231" t="s">
        <v>508</v>
      </c>
      <c r="C14" s="23" t="s">
        <v>13</v>
      </c>
      <c r="D14" s="193" t="s">
        <v>151</v>
      </c>
      <c r="E14" s="202" t="s">
        <v>5</v>
      </c>
      <c r="F14" s="203"/>
      <c r="G14" s="137" t="s">
        <v>329</v>
      </c>
      <c r="H14" s="192" t="s">
        <v>211</v>
      </c>
      <c r="I14" s="192" t="s">
        <v>363</v>
      </c>
      <c r="J14" s="212" t="s">
        <v>212</v>
      </c>
    </row>
    <row r="15" spans="1:15" ht="15.75" customHeight="1" x14ac:dyDescent="0.3">
      <c r="A15" s="112">
        <v>2</v>
      </c>
      <c r="B15" s="231" t="s">
        <v>508</v>
      </c>
      <c r="C15" s="23" t="s">
        <v>13</v>
      </c>
      <c r="D15" s="194" t="s">
        <v>68</v>
      </c>
      <c r="E15" s="209" t="s">
        <v>367</v>
      </c>
      <c r="F15" s="213"/>
      <c r="G15" s="139"/>
      <c r="H15" s="194"/>
      <c r="I15" s="194"/>
      <c r="J15" s="211"/>
    </row>
    <row r="16" spans="1:15" ht="15.75" customHeight="1" x14ac:dyDescent="0.3">
      <c r="A16" s="112">
        <v>1</v>
      </c>
      <c r="B16" s="231" t="s">
        <v>508</v>
      </c>
      <c r="C16" s="23" t="s">
        <v>13</v>
      </c>
      <c r="D16" s="192" t="s">
        <v>103</v>
      </c>
      <c r="E16" s="202"/>
      <c r="F16" s="203"/>
      <c r="G16" s="137" t="s">
        <v>374</v>
      </c>
      <c r="H16" s="192"/>
      <c r="I16" s="192"/>
      <c r="J16" s="95" t="s">
        <v>373</v>
      </c>
    </row>
    <row r="17" spans="1:11" ht="15.75" customHeight="1" x14ac:dyDescent="0.3">
      <c r="A17" s="112">
        <v>1</v>
      </c>
      <c r="B17" s="231" t="s">
        <v>508</v>
      </c>
      <c r="C17" s="23" t="s">
        <v>13</v>
      </c>
      <c r="D17" s="192" t="s">
        <v>104</v>
      </c>
      <c r="E17" s="202"/>
      <c r="F17" s="203"/>
      <c r="G17" s="137" t="s">
        <v>211</v>
      </c>
      <c r="H17" s="94" t="s">
        <v>376</v>
      </c>
      <c r="I17" s="94" t="s">
        <v>375</v>
      </c>
      <c r="J17" s="212" t="s">
        <v>212</v>
      </c>
    </row>
    <row r="18" spans="1:11" ht="15.75" customHeight="1" x14ac:dyDescent="0.3">
      <c r="A18" s="112">
        <v>2</v>
      </c>
      <c r="B18" s="231" t="s">
        <v>508</v>
      </c>
      <c r="C18" s="23" t="s">
        <v>13</v>
      </c>
      <c r="D18" s="192" t="s">
        <v>105</v>
      </c>
      <c r="E18" s="202"/>
      <c r="F18" s="203"/>
      <c r="G18" s="137" t="s">
        <v>211</v>
      </c>
      <c r="H18" s="192" t="s">
        <v>376</v>
      </c>
      <c r="I18" s="192" t="s">
        <v>375</v>
      </c>
      <c r="J18" s="212" t="s">
        <v>212</v>
      </c>
    </row>
    <row r="19" spans="1:11" ht="15.75" customHeight="1" x14ac:dyDescent="0.3">
      <c r="A19" s="112">
        <v>2</v>
      </c>
      <c r="B19" s="231" t="s">
        <v>508</v>
      </c>
      <c r="C19" s="23" t="s">
        <v>13</v>
      </c>
      <c r="D19" s="193" t="s">
        <v>69</v>
      </c>
      <c r="E19" s="202"/>
      <c r="F19" s="203"/>
      <c r="G19" s="137" t="s">
        <v>211</v>
      </c>
      <c r="H19" s="192" t="s">
        <v>377</v>
      </c>
      <c r="I19" s="192" t="s">
        <v>375</v>
      </c>
      <c r="J19" s="212" t="s">
        <v>212</v>
      </c>
    </row>
    <row r="20" spans="1:11" ht="15.75" customHeight="1" x14ac:dyDescent="0.3">
      <c r="A20" s="112">
        <v>1</v>
      </c>
      <c r="B20" s="231" t="s">
        <v>508</v>
      </c>
      <c r="C20" s="23" t="s">
        <v>13</v>
      </c>
      <c r="D20" s="193" t="s">
        <v>497</v>
      </c>
      <c r="E20" s="202"/>
      <c r="F20" s="203"/>
      <c r="G20" s="137" t="s">
        <v>498</v>
      </c>
      <c r="H20" s="94" t="s">
        <v>499</v>
      </c>
      <c r="I20" s="94" t="s">
        <v>500</v>
      </c>
      <c r="J20" s="95" t="s">
        <v>501</v>
      </c>
    </row>
    <row r="21" spans="1:11" ht="15.75" customHeight="1" x14ac:dyDescent="0.3">
      <c r="A21" s="171">
        <v>1</v>
      </c>
      <c r="B21" s="231" t="s">
        <v>508</v>
      </c>
      <c r="C21" s="23" t="s">
        <v>13</v>
      </c>
      <c r="D21" s="192" t="s">
        <v>106</v>
      </c>
      <c r="E21" s="202"/>
      <c r="F21" s="203"/>
      <c r="G21" s="137" t="s">
        <v>211</v>
      </c>
      <c r="H21" s="192" t="s">
        <v>378</v>
      </c>
      <c r="I21" s="192" t="s">
        <v>379</v>
      </c>
      <c r="J21" s="95" t="s">
        <v>380</v>
      </c>
    </row>
    <row r="22" spans="1:11" ht="15.75" customHeight="1" x14ac:dyDescent="0.3">
      <c r="A22" s="112">
        <v>1</v>
      </c>
      <c r="B22" s="231" t="s">
        <v>508</v>
      </c>
      <c r="C22" s="23" t="s">
        <v>13</v>
      </c>
      <c r="D22" s="193" t="s">
        <v>107</v>
      </c>
      <c r="E22" s="202"/>
      <c r="F22" s="203"/>
      <c r="G22" s="137" t="s">
        <v>211</v>
      </c>
      <c r="H22" s="192" t="s">
        <v>378</v>
      </c>
      <c r="I22" s="192" t="s">
        <v>379</v>
      </c>
      <c r="J22" s="95" t="s">
        <v>380</v>
      </c>
    </row>
    <row r="23" spans="1:11" ht="15.75" customHeight="1" x14ac:dyDescent="0.3">
      <c r="A23" s="106">
        <v>1</v>
      </c>
      <c r="B23" s="231" t="s">
        <v>508</v>
      </c>
      <c r="C23" s="23" t="s">
        <v>13</v>
      </c>
      <c r="D23" s="194" t="s">
        <v>108</v>
      </c>
      <c r="E23" s="209" t="s">
        <v>367</v>
      </c>
      <c r="F23" s="213"/>
      <c r="G23" s="139"/>
      <c r="H23" s="194"/>
      <c r="I23" s="194"/>
      <c r="J23" s="211"/>
    </row>
    <row r="24" spans="1:11" ht="15.75" customHeight="1" x14ac:dyDescent="0.3">
      <c r="A24" s="106">
        <v>2</v>
      </c>
      <c r="B24" s="231" t="s">
        <v>508</v>
      </c>
      <c r="C24" s="23" t="s">
        <v>13</v>
      </c>
      <c r="D24" s="192" t="s">
        <v>109</v>
      </c>
      <c r="E24" s="202"/>
      <c r="F24" s="203"/>
      <c r="G24" s="137" t="s">
        <v>211</v>
      </c>
      <c r="H24" s="192"/>
      <c r="I24" s="192"/>
      <c r="J24" s="212" t="s">
        <v>212</v>
      </c>
    </row>
    <row r="25" spans="1:11" ht="15.75" customHeight="1" x14ac:dyDescent="0.3">
      <c r="A25" s="106">
        <v>2</v>
      </c>
      <c r="B25" s="231" t="s">
        <v>508</v>
      </c>
      <c r="C25" s="23" t="s">
        <v>13</v>
      </c>
      <c r="D25" s="192" t="s">
        <v>110</v>
      </c>
      <c r="E25" s="202"/>
      <c r="F25" s="203"/>
      <c r="G25" s="137" t="s">
        <v>329</v>
      </c>
      <c r="H25" s="192" t="s">
        <v>211</v>
      </c>
      <c r="I25" s="192"/>
      <c r="J25" s="212" t="s">
        <v>212</v>
      </c>
    </row>
    <row r="26" spans="1:11" ht="15.75" customHeight="1" x14ac:dyDescent="0.3">
      <c r="A26" s="106">
        <v>2</v>
      </c>
      <c r="B26" s="231" t="s">
        <v>508</v>
      </c>
      <c r="C26" s="23" t="s">
        <v>13</v>
      </c>
      <c r="D26" s="192" t="s">
        <v>111</v>
      </c>
      <c r="E26" s="202"/>
      <c r="F26" s="203"/>
      <c r="G26" s="137" t="s">
        <v>329</v>
      </c>
      <c r="H26" s="192" t="s">
        <v>211</v>
      </c>
      <c r="I26" s="192"/>
      <c r="J26" s="212" t="s">
        <v>212</v>
      </c>
    </row>
    <row r="27" spans="1:11" ht="15.75" customHeight="1" x14ac:dyDescent="0.3">
      <c r="A27" s="106">
        <v>1</v>
      </c>
      <c r="B27" s="231" t="s">
        <v>508</v>
      </c>
      <c r="C27" s="23" t="s">
        <v>354</v>
      </c>
      <c r="D27" s="94" t="s">
        <v>412</v>
      </c>
      <c r="E27" s="202"/>
      <c r="F27" s="203"/>
      <c r="G27" s="137" t="s">
        <v>211</v>
      </c>
      <c r="H27" s="94" t="s">
        <v>413</v>
      </c>
      <c r="I27" s="94" t="s">
        <v>414</v>
      </c>
      <c r="J27" s="95" t="s">
        <v>415</v>
      </c>
    </row>
    <row r="28" spans="1:11" ht="15.75" customHeight="1" x14ac:dyDescent="0.3">
      <c r="A28" s="171">
        <v>2</v>
      </c>
      <c r="B28" s="231" t="s">
        <v>508</v>
      </c>
      <c r="C28" s="23" t="s">
        <v>354</v>
      </c>
      <c r="D28" s="192" t="s">
        <v>248</v>
      </c>
      <c r="E28" s="202"/>
      <c r="F28" s="203"/>
      <c r="G28" s="137" t="s">
        <v>211</v>
      </c>
      <c r="H28" s="56" t="s">
        <v>250</v>
      </c>
      <c r="I28" s="56" t="s">
        <v>258</v>
      </c>
      <c r="J28" s="92" t="s">
        <v>251</v>
      </c>
      <c r="K28" s="11"/>
    </row>
    <row r="29" spans="1:11" ht="15.75" customHeight="1" x14ac:dyDescent="0.3">
      <c r="A29" s="112">
        <v>2</v>
      </c>
      <c r="B29" s="231" t="s">
        <v>508</v>
      </c>
      <c r="C29" s="23" t="s">
        <v>354</v>
      </c>
      <c r="D29" s="94" t="s">
        <v>411</v>
      </c>
      <c r="E29" s="202"/>
      <c r="F29" s="203"/>
      <c r="G29" s="137" t="s">
        <v>355</v>
      </c>
      <c r="H29" s="56" t="s">
        <v>356</v>
      </c>
      <c r="I29" s="56" t="s">
        <v>357</v>
      </c>
      <c r="J29" s="92" t="s">
        <v>358</v>
      </c>
      <c r="K29" s="11"/>
    </row>
    <row r="30" spans="1:11" ht="15.75" customHeight="1" x14ac:dyDescent="0.3">
      <c r="A30" s="112">
        <v>2</v>
      </c>
      <c r="B30" s="231" t="s">
        <v>508</v>
      </c>
      <c r="C30" s="23" t="s">
        <v>354</v>
      </c>
      <c r="D30" s="94" t="s">
        <v>407</v>
      </c>
      <c r="E30" s="202"/>
      <c r="F30" s="203"/>
      <c r="G30" s="137" t="s">
        <v>211</v>
      </c>
      <c r="H30" s="56" t="s">
        <v>408</v>
      </c>
      <c r="I30" s="56" t="s">
        <v>409</v>
      </c>
      <c r="J30" s="92" t="s">
        <v>410</v>
      </c>
      <c r="K30" s="11"/>
    </row>
    <row r="31" spans="1:11" ht="15.75" customHeight="1" x14ac:dyDescent="0.3">
      <c r="A31" s="111">
        <v>3</v>
      </c>
      <c r="B31" s="231" t="s">
        <v>508</v>
      </c>
      <c r="C31" s="14" t="s">
        <v>354</v>
      </c>
      <c r="D31" s="94" t="s">
        <v>445</v>
      </c>
      <c r="E31" s="202"/>
      <c r="F31" s="203"/>
      <c r="G31" s="137" t="s">
        <v>446</v>
      </c>
      <c r="H31" s="56" t="s">
        <v>447</v>
      </c>
      <c r="I31" s="56" t="s">
        <v>448</v>
      </c>
      <c r="J31" s="92" t="s">
        <v>449</v>
      </c>
      <c r="K31" s="11"/>
    </row>
    <row r="32" spans="1:11" ht="15.75" customHeight="1" x14ac:dyDescent="0.3">
      <c r="A32" s="106">
        <v>1</v>
      </c>
      <c r="B32" s="231" t="s">
        <v>508</v>
      </c>
      <c r="C32" s="23" t="s">
        <v>14</v>
      </c>
      <c r="D32" s="94" t="s">
        <v>436</v>
      </c>
      <c r="E32" s="202"/>
      <c r="F32" s="203"/>
      <c r="G32" s="137" t="s">
        <v>437</v>
      </c>
      <c r="H32" s="94" t="s">
        <v>438</v>
      </c>
      <c r="I32" s="94" t="s">
        <v>439</v>
      </c>
      <c r="J32" s="95" t="s">
        <v>440</v>
      </c>
    </row>
    <row r="33" spans="1:11" ht="15.75" customHeight="1" x14ac:dyDescent="0.3">
      <c r="A33" s="106">
        <v>1</v>
      </c>
      <c r="B33" s="231" t="s">
        <v>508</v>
      </c>
      <c r="C33" s="23" t="s">
        <v>14</v>
      </c>
      <c r="D33" s="193" t="s">
        <v>112</v>
      </c>
      <c r="E33" s="202"/>
      <c r="F33" s="203"/>
      <c r="G33" s="137" t="s">
        <v>211</v>
      </c>
      <c r="H33" s="192" t="s">
        <v>381</v>
      </c>
      <c r="I33" s="192" t="s">
        <v>382</v>
      </c>
      <c r="J33" s="212" t="s">
        <v>212</v>
      </c>
    </row>
    <row r="34" spans="1:11" ht="15.75" customHeight="1" x14ac:dyDescent="0.3">
      <c r="A34" s="106">
        <v>2</v>
      </c>
      <c r="B34" s="231" t="s">
        <v>508</v>
      </c>
      <c r="C34" s="23" t="s">
        <v>14</v>
      </c>
      <c r="D34" s="192" t="s">
        <v>386</v>
      </c>
      <c r="E34" s="202" t="s">
        <v>383</v>
      </c>
      <c r="F34" s="203"/>
      <c r="G34" s="137" t="s">
        <v>229</v>
      </c>
      <c r="H34" s="192" t="s">
        <v>230</v>
      </c>
      <c r="I34" s="192" t="s">
        <v>231</v>
      </c>
      <c r="J34" s="212" t="s">
        <v>232</v>
      </c>
    </row>
    <row r="35" spans="1:11" ht="15.75" customHeight="1" x14ac:dyDescent="0.3">
      <c r="A35" s="106">
        <v>2</v>
      </c>
      <c r="B35" s="231" t="s">
        <v>508</v>
      </c>
      <c r="C35" s="23" t="s">
        <v>14</v>
      </c>
      <c r="D35" s="193" t="s">
        <v>385</v>
      </c>
      <c r="E35" s="202" t="s">
        <v>383</v>
      </c>
      <c r="F35" s="203"/>
      <c r="G35" s="137" t="s">
        <v>229</v>
      </c>
      <c r="H35" s="192" t="s">
        <v>230</v>
      </c>
      <c r="I35" s="192" t="s">
        <v>231</v>
      </c>
      <c r="J35" s="212" t="s">
        <v>232</v>
      </c>
    </row>
    <row r="36" spans="1:11" ht="15.75" customHeight="1" x14ac:dyDescent="0.3">
      <c r="A36" s="106">
        <v>2</v>
      </c>
      <c r="B36" s="231" t="s">
        <v>508</v>
      </c>
      <c r="C36" s="23" t="s">
        <v>14</v>
      </c>
      <c r="D36" s="193" t="s">
        <v>384</v>
      </c>
      <c r="E36" s="202" t="s">
        <v>383</v>
      </c>
      <c r="F36" s="203"/>
      <c r="G36" s="137" t="s">
        <v>229</v>
      </c>
      <c r="H36" s="192" t="s">
        <v>230</v>
      </c>
      <c r="I36" s="192" t="s">
        <v>231</v>
      </c>
      <c r="J36" s="212" t="s">
        <v>232</v>
      </c>
    </row>
    <row r="37" spans="1:11" ht="15.75" customHeight="1" x14ac:dyDescent="0.3">
      <c r="A37" s="116">
        <v>3</v>
      </c>
      <c r="B37" s="231" t="s">
        <v>508</v>
      </c>
      <c r="C37" s="23" t="s">
        <v>14</v>
      </c>
      <c r="D37" s="193" t="s">
        <v>416</v>
      </c>
      <c r="E37" s="202"/>
      <c r="F37" s="203"/>
      <c r="G37" s="192" t="s">
        <v>211</v>
      </c>
      <c r="H37" s="94" t="s">
        <v>417</v>
      </c>
      <c r="I37" s="94" t="s">
        <v>418</v>
      </c>
      <c r="J37" s="94" t="s">
        <v>419</v>
      </c>
    </row>
    <row r="38" spans="1:11" ht="15.75" customHeight="1" x14ac:dyDescent="0.3">
      <c r="A38" s="106">
        <v>2</v>
      </c>
      <c r="B38" s="231" t="s">
        <v>508</v>
      </c>
      <c r="C38" s="23" t="s">
        <v>14</v>
      </c>
      <c r="D38" s="88" t="s">
        <v>420</v>
      </c>
      <c r="E38" s="202"/>
      <c r="F38" s="203"/>
      <c r="G38" s="137" t="s">
        <v>211</v>
      </c>
      <c r="H38" s="94" t="s">
        <v>421</v>
      </c>
      <c r="I38" s="94" t="s">
        <v>422</v>
      </c>
      <c r="J38" s="95" t="s">
        <v>423</v>
      </c>
    </row>
    <row r="39" spans="1:11" ht="15.75" customHeight="1" x14ac:dyDescent="0.3">
      <c r="A39" s="116">
        <v>3</v>
      </c>
      <c r="B39" s="231" t="s">
        <v>508</v>
      </c>
      <c r="C39" s="23" t="s">
        <v>14</v>
      </c>
      <c r="D39" s="193" t="s">
        <v>424</v>
      </c>
      <c r="E39" s="202"/>
      <c r="F39" s="203"/>
      <c r="G39" s="137" t="s">
        <v>211</v>
      </c>
      <c r="H39" s="94" t="s">
        <v>427</v>
      </c>
      <c r="I39" s="94" t="s">
        <v>425</v>
      </c>
      <c r="J39" s="95" t="s">
        <v>426</v>
      </c>
    </row>
    <row r="40" spans="1:11" ht="15.75" customHeight="1" x14ac:dyDescent="0.3">
      <c r="A40" s="116">
        <v>3</v>
      </c>
      <c r="B40" s="231" t="s">
        <v>508</v>
      </c>
      <c r="C40" s="23" t="s">
        <v>14</v>
      </c>
      <c r="D40" s="193" t="s">
        <v>428</v>
      </c>
      <c r="E40" s="202"/>
      <c r="F40" s="203"/>
      <c r="G40" s="137" t="s">
        <v>211</v>
      </c>
      <c r="H40" s="94" t="s">
        <v>429</v>
      </c>
      <c r="I40" s="94" t="s">
        <v>430</v>
      </c>
      <c r="J40" s="95" t="s">
        <v>431</v>
      </c>
    </row>
    <row r="41" spans="1:11" ht="15.75" customHeight="1" x14ac:dyDescent="0.3">
      <c r="A41" s="116">
        <v>3</v>
      </c>
      <c r="B41" s="231" t="s">
        <v>508</v>
      </c>
      <c r="C41" s="23" t="s">
        <v>14</v>
      </c>
      <c r="D41" s="194" t="s">
        <v>114</v>
      </c>
      <c r="E41" s="209" t="s">
        <v>113</v>
      </c>
      <c r="F41" s="213"/>
      <c r="G41" s="140"/>
      <c r="H41" s="194"/>
      <c r="I41" s="194"/>
      <c r="J41" s="211"/>
    </row>
    <row r="42" spans="1:11" ht="15.75" customHeight="1" x14ac:dyDescent="0.3">
      <c r="A42" s="106">
        <v>1</v>
      </c>
      <c r="B42" s="231" t="s">
        <v>508</v>
      </c>
      <c r="C42" s="23" t="s">
        <v>361</v>
      </c>
      <c r="D42" s="194" t="s">
        <v>360</v>
      </c>
      <c r="E42" s="209" t="s">
        <v>173</v>
      </c>
      <c r="F42" s="213"/>
      <c r="G42" s="140"/>
      <c r="H42" s="214"/>
      <c r="I42" s="214"/>
      <c r="J42" s="215"/>
      <c r="K42" s="11"/>
    </row>
    <row r="43" spans="1:11" ht="15.75" customHeight="1" x14ac:dyDescent="0.3">
      <c r="A43" s="106">
        <v>2</v>
      </c>
      <c r="B43" s="231" t="s">
        <v>508</v>
      </c>
      <c r="C43" s="89" t="s">
        <v>362</v>
      </c>
      <c r="D43" s="195" t="s">
        <v>62</v>
      </c>
      <c r="E43" s="216"/>
      <c r="F43" s="217"/>
      <c r="G43" s="218"/>
      <c r="H43" s="219"/>
      <c r="I43" s="219"/>
      <c r="J43" s="220"/>
      <c r="K43" s="11"/>
    </row>
    <row r="44" spans="1:11" ht="15.75" customHeight="1" x14ac:dyDescent="0.3">
      <c r="A44" s="106">
        <v>2</v>
      </c>
      <c r="B44" s="231" t="s">
        <v>508</v>
      </c>
      <c r="C44" s="195" t="s">
        <v>362</v>
      </c>
      <c r="D44" s="195" t="s">
        <v>471</v>
      </c>
      <c r="E44" s="216"/>
      <c r="F44" s="217"/>
      <c r="G44" s="218"/>
      <c r="H44" s="219"/>
      <c r="I44" s="219"/>
      <c r="J44" s="220"/>
      <c r="K44" s="11"/>
    </row>
    <row r="45" spans="1:11" ht="15.75" customHeight="1" x14ac:dyDescent="0.3">
      <c r="A45" s="106">
        <v>2</v>
      </c>
      <c r="B45" s="231" t="s">
        <v>508</v>
      </c>
      <c r="C45" s="127" t="s">
        <v>361</v>
      </c>
      <c r="D45" s="194" t="s">
        <v>472</v>
      </c>
      <c r="E45" s="221"/>
      <c r="F45" s="222"/>
      <c r="G45" s="218"/>
      <c r="H45" s="219"/>
      <c r="I45" s="219"/>
      <c r="J45" s="220"/>
      <c r="K45" s="11"/>
    </row>
    <row r="46" spans="1:11" ht="15.75" customHeight="1" x14ac:dyDescent="0.3">
      <c r="A46" s="106">
        <v>2</v>
      </c>
      <c r="B46" s="231" t="s">
        <v>508</v>
      </c>
      <c r="C46" s="195" t="s">
        <v>362</v>
      </c>
      <c r="D46" s="195" t="s">
        <v>473</v>
      </c>
      <c r="E46" s="216"/>
      <c r="F46" s="217"/>
      <c r="G46" s="218"/>
      <c r="H46" s="219"/>
      <c r="I46" s="219"/>
      <c r="J46" s="220"/>
      <c r="K46" s="11"/>
    </row>
    <row r="47" spans="1:11" ht="15.75" customHeight="1" x14ac:dyDescent="0.3">
      <c r="A47" s="106">
        <v>2</v>
      </c>
      <c r="B47" s="231" t="s">
        <v>508</v>
      </c>
      <c r="C47" s="127" t="s">
        <v>361</v>
      </c>
      <c r="D47" s="194" t="s">
        <v>474</v>
      </c>
      <c r="E47" s="221"/>
      <c r="F47" s="222"/>
      <c r="G47" s="218"/>
      <c r="H47" s="219"/>
      <c r="I47" s="219"/>
      <c r="J47" s="220"/>
      <c r="K47" s="11"/>
    </row>
    <row r="48" spans="1:11" ht="15.75" customHeight="1" thickBot="1" x14ac:dyDescent="0.35">
      <c r="A48" s="116">
        <v>3</v>
      </c>
      <c r="B48" s="231" t="s">
        <v>508</v>
      </c>
      <c r="C48" s="195" t="s">
        <v>362</v>
      </c>
      <c r="D48" s="195" t="s">
        <v>475</v>
      </c>
      <c r="E48" s="216"/>
      <c r="F48" s="217"/>
      <c r="G48" s="223" t="s">
        <v>211</v>
      </c>
      <c r="H48" s="224" t="s">
        <v>340</v>
      </c>
      <c r="I48" s="224" t="s">
        <v>341</v>
      </c>
      <c r="J48" s="225" t="s">
        <v>342</v>
      </c>
      <c r="K48" s="11"/>
    </row>
    <row r="52" spans="5:5" ht="15.75" customHeight="1" x14ac:dyDescent="0.3">
      <c r="E52" s="190"/>
    </row>
    <row r="53" spans="5:5" ht="15.75" customHeight="1" x14ac:dyDescent="0.3">
      <c r="E53" s="190"/>
    </row>
  </sheetData>
  <autoFilter ref="A2:J48" xr:uid="{1F302A6E-24D5-412C-9DEB-A6A663C32664}"/>
  <mergeCells count="2">
    <mergeCell ref="G1:J1"/>
    <mergeCell ref="A1:F1"/>
  </mergeCells>
  <phoneticPr fontId="4" type="noConversion"/>
  <conditionalFormatting sqref="A1:B1048576">
    <cfRule type="colorScale" priority="1">
      <colorScale>
        <cfvo type="num" val="1"/>
        <cfvo type="num" val="2"/>
        <cfvo type="num" val="3"/>
        <color theme="9" tint="0.79998168889431442"/>
        <color theme="9" tint="0.39997558519241921"/>
        <color theme="9" tint="-0.499984740745262"/>
      </colorScale>
    </cfRule>
  </conditionalFormatting>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0a858bc-b19d-4d92-a6f0-3eb7f146635e">
      <Terms xmlns="http://schemas.microsoft.com/office/infopath/2007/PartnerControls"/>
    </lcf76f155ced4ddcb4097134ff3c332f>
    <TaxCatchAll xmlns="b4304807-af67-4394-b1cc-13a8c181bc5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9ABF071EC5FD74EA0222A382BA34C08" ma:contentTypeVersion="11" ma:contentTypeDescription="Create a new document." ma:contentTypeScope="" ma:versionID="d1fca53e746bee82d394b249c2768aa7">
  <xsd:schema xmlns:xsd="http://www.w3.org/2001/XMLSchema" xmlns:xs="http://www.w3.org/2001/XMLSchema" xmlns:p="http://schemas.microsoft.com/office/2006/metadata/properties" xmlns:ns2="70a858bc-b19d-4d92-a6f0-3eb7f146635e" xmlns:ns3="b4304807-af67-4394-b1cc-13a8c181bc53" targetNamespace="http://schemas.microsoft.com/office/2006/metadata/properties" ma:root="true" ma:fieldsID="79506d62397ffb79c9023faba63ba8ab" ns2:_="" ns3:_="">
    <xsd:import namespace="70a858bc-b19d-4d92-a6f0-3eb7f146635e"/>
    <xsd:import namespace="b4304807-af67-4394-b1cc-13a8c181bc5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a858bc-b19d-4d92-a6f0-3eb7f14663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b3623ea3-be23-4189-a25b-bcadb097ef14"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304807-af67-4394-b1cc-13a8c181bc5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dcde11a9-839a-425a-afe4-dde1e3626ca3}" ma:internalName="TaxCatchAll" ma:showField="CatchAllData" ma:web="b4304807-af67-4394-b1cc-13a8c181bc53">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522DA3-CEAE-470D-AFFE-9D4DBE04119E}">
  <ds:schemaRefs>
    <ds:schemaRef ds:uri="http://schemas.microsoft.com/sharepoint/v3/contenttype/forms"/>
  </ds:schemaRefs>
</ds:datastoreItem>
</file>

<file path=customXml/itemProps2.xml><?xml version="1.0" encoding="utf-8"?>
<ds:datastoreItem xmlns:ds="http://schemas.openxmlformats.org/officeDocument/2006/customXml" ds:itemID="{C171BFC7-B93E-4097-9F0D-AF18FAE4FAFA}">
  <ds:schemaRefs>
    <ds:schemaRef ds:uri="http://purl.org/dc/terms/"/>
    <ds:schemaRef ds:uri="http://schemas.microsoft.com/office/infopath/2007/PartnerControls"/>
    <ds:schemaRef ds:uri="http://purl.org/dc/dcmitype/"/>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b4304807-af67-4394-b1cc-13a8c181bc53"/>
    <ds:schemaRef ds:uri="70a858bc-b19d-4d92-a6f0-3eb7f146635e"/>
    <ds:schemaRef ds:uri="http://www.w3.org/XML/1998/namespace"/>
  </ds:schemaRefs>
</ds:datastoreItem>
</file>

<file path=customXml/itemProps3.xml><?xml version="1.0" encoding="utf-8"?>
<ds:datastoreItem xmlns:ds="http://schemas.openxmlformats.org/officeDocument/2006/customXml" ds:itemID="{841DD0F7-E8C9-4E7D-A96F-A6DA7E80E7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a858bc-b19d-4d92-a6f0-3eb7f146635e"/>
    <ds:schemaRef ds:uri="b4304807-af67-4394-b1cc-13a8c181bc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 Mode d'emploi</vt:lpstr>
      <vt:lpstr>1. Questionnaire d'entretien </vt:lpstr>
      <vt:lpstr>2. Note de maturité</vt:lpstr>
      <vt:lpstr>3. Glossaire</vt:lpstr>
      <vt:lpstr>Validation des données</vt:lpstr>
      <vt:lpstr>1. Stratégie et Gouvernance</vt:lpstr>
      <vt:lpstr>2. Mesure</vt:lpstr>
      <vt:lpstr>3. Achat</vt:lpstr>
      <vt:lpstr>4. Conception</vt:lpstr>
      <vt:lpstr>5. DEEE et Economie circulaire</vt:lpstr>
      <vt:lpstr>6. Sensibilisation</vt:lpstr>
    </vt:vector>
  </TitlesOfParts>
  <Company>Secrétariat Général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 Richard</dc:creator>
  <cp:lastModifiedBy>FENG, Yucen</cp:lastModifiedBy>
  <dcterms:created xsi:type="dcterms:W3CDTF">2020-09-04T15:36:48Z</dcterms:created>
  <dcterms:modified xsi:type="dcterms:W3CDTF">2023-01-31T08:26:32Z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0x01010069ABF071EC5FD74EA0222A382BA34C08</vt:lpwstr>
  </property>
  <property fmtid="{D5CDD505-2E9C-101B-9397-08002B2CF9AE}" pid="3" name="MediaServiceImageTags">
    <vt:lpwstr/>
  </property>
</Properties>
</file>